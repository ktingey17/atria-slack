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05e0e0d1d14de34/Test_Cowork/"/>
    </mc:Choice>
  </mc:AlternateContent>
  <xr:revisionPtr revIDLastSave="449" documentId="11_C0E010CE5C19574BB0783312F5340A1A1E50D519" xr6:coauthVersionLast="47" xr6:coauthVersionMax="47" xr10:uidLastSave="{168219C9-9380-42CB-B0BC-C9399D57577E}"/>
  <bookViews>
    <workbookView xWindow="-120" yWindow="-120" windowWidth="29040" windowHeight="15720" tabRatio="500" activeTab="4" xr2:uid="{00000000-000D-0000-FFFF-FFFF00000000}"/>
  </bookViews>
  <sheets>
    <sheet name="Monthly CF" sheetId="1" r:id="rId1"/>
    <sheet name="Overview" sheetId="2" r:id="rId2"/>
    <sheet name="CapEx &amp; TI-LC" sheetId="6" r:id="rId3"/>
    <sheet name="Rent Roll" sheetId="5" r:id="rId4"/>
    <sheet name="OM Rent Roll" sheetId="3" r:id="rId5"/>
    <sheet name="OM OpEx" sheetId="4" r:id="rId6"/>
    <sheet name="Debt" sheetId="7" r:id="rId7"/>
    <sheet name="Annual CF" sheetId="8" r:id="rId8"/>
    <sheet name="Waterfall" sheetId="9" r:id="rId9"/>
    <sheet name="Sensitivity" sheetId="10" r:id="rId10"/>
  </sheets>
  <definedNames>
    <definedName name="Acq_Fee_Pct">Overview!$F$32</definedName>
    <definedName name="Acquisition_Price">Overview!$C$14</definedName>
    <definedName name="Addl_Income">Overview!$C$28</definedName>
    <definedName name="AM_Fee_Pct">Overview!$F$33</definedName>
    <definedName name="Amort1_Years">Overview!$F$16</definedName>
    <definedName name="Assessed_Value">Overview!$C$26</definedName>
    <definedName name="Close_Date">Overview!$C$6</definedName>
    <definedName name="Closing_Cost_Pct">Overview!$C$15</definedName>
    <definedName name="Credit_Loss_Pct">Overview!$C$21</definedName>
    <definedName name="Default_Downtime">Overview!$F$8</definedName>
    <definedName name="Default_Renewal_Prob">Overview!$F$9</definedName>
    <definedName name="Exit_Cap">Overview!$C$18</definedName>
    <definedName name="Exit_Month">Overview!$C$19</definedName>
    <definedName name="IO1_Months">Overview!$F$15</definedName>
    <definedName name="LC_New">Overview!$F$6</definedName>
    <definedName name="LC_Renewal">Overview!$F$7</definedName>
    <definedName name="Legal_Monthly">Overview!$F$34</definedName>
    <definedName name="Loan1_Amount">Overview!$F$13</definedName>
    <definedName name="Mgmt_Fee_Pct">Overview!$C$27</definedName>
    <definedName name="Millage_Rate">Overview!$C$24</definedName>
    <definedName name="Monthly_OpEx">'OM OpEx'!$G$21</definedName>
    <definedName name="NRA">Overview!$C$7</definedName>
    <definedName name="opex_annual_growth">Overview!$C$25</definedName>
    <definedName name="opex_no_pm">'OM OpEx'!$G$21</definedName>
    <definedName name="Orig_Fee1">Overview!$F$18</definedName>
    <definedName name="Rate1">Overview!$F$14</definedName>
    <definedName name="Refi_Amort">Overview!$F$27</definedName>
    <definedName name="Refi_IO">Overview!$F$26</definedName>
    <definedName name="Refi_Loan_Amt">Overview!$F$24</definedName>
    <definedName name="Refi_LTV">Overview!$F$23</definedName>
    <definedName name="Refi_Month">Overview!$F$22</definedName>
    <definedName name="Refi_Orig_Fee">Overview!$F$29</definedName>
    <definedName name="Refi_Rate">Overview!$F$25</definedName>
    <definedName name="Refi_Term">Overview!$F$28</definedName>
    <definedName name="Refi_Toggle">Overview!$F$21</definedName>
    <definedName name="Rent_Growth">Overview!$C$23</definedName>
    <definedName name="Repl_Reserve_PSF">Overview!$C$22</definedName>
    <definedName name="Selling_Cost_Pct">Overview!$C$20</definedName>
    <definedName name="Term1_Months">Overview!$F$17</definedName>
    <definedName name="TI_New">Overview!$F$4</definedName>
    <definedName name="TI_Renewal">Overview!$F$5</definedName>
  </definedNames>
  <calcPr calcId="191029" iterateCount="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3" l="1"/>
  <c r="C25" i="3"/>
  <c r="F22" i="2"/>
  <c r="AS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CD48" i="5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C3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C4" i="1"/>
  <c r="I18" i="2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C18" i="7"/>
  <c r="D6" i="7"/>
  <c r="E6" i="7"/>
  <c r="F6" i="7"/>
  <c r="G6" i="7"/>
  <c r="H6" i="7"/>
  <c r="I6" i="7"/>
  <c r="J6" i="7"/>
  <c r="K6" i="7"/>
  <c r="L6" i="7"/>
  <c r="M6" i="7"/>
  <c r="N6" i="7"/>
  <c r="C6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C25" i="7"/>
  <c r="BN13" i="6" l="1"/>
  <c r="BA13" i="6"/>
  <c r="AP13" i="6"/>
  <c r="AK13" i="6"/>
  <c r="AG13" i="6"/>
  <c r="AF13" i="6"/>
  <c r="Y13" i="6"/>
  <c r="U13" i="6"/>
  <c r="J13" i="6"/>
  <c r="E13" i="6"/>
  <c r="BO12" i="6"/>
  <c r="BN12" i="6"/>
  <c r="BM12" i="6"/>
  <c r="BL12" i="6"/>
  <c r="BK12" i="6"/>
  <c r="BJ12" i="6"/>
  <c r="BI12" i="6"/>
  <c r="BH12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BO11" i="6"/>
  <c r="BN11" i="6"/>
  <c r="BM11" i="6"/>
  <c r="BL11" i="6"/>
  <c r="BK11" i="6"/>
  <c r="BJ11" i="6"/>
  <c r="BI11" i="6"/>
  <c r="BH11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BO10" i="6"/>
  <c r="BN10" i="6"/>
  <c r="BM10" i="6"/>
  <c r="BL10" i="6"/>
  <c r="BK10" i="6"/>
  <c r="BJ10" i="6"/>
  <c r="BI10" i="6"/>
  <c r="BH10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BO9" i="6"/>
  <c r="BN9" i="6"/>
  <c r="BM9" i="6"/>
  <c r="BL9" i="6"/>
  <c r="BK9" i="6"/>
  <c r="BJ9" i="6"/>
  <c r="BI9" i="6"/>
  <c r="BH9" i="6"/>
  <c r="BG9" i="6"/>
  <c r="BF9" i="6"/>
  <c r="BE9" i="6"/>
  <c r="BD9" i="6"/>
  <c r="BC9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BO8" i="6"/>
  <c r="BN8" i="6"/>
  <c r="BM8" i="6"/>
  <c r="BL8" i="6"/>
  <c r="BK8" i="6"/>
  <c r="BJ8" i="6"/>
  <c r="BI8" i="6"/>
  <c r="BH8" i="6"/>
  <c r="BG8" i="6"/>
  <c r="BF8" i="6"/>
  <c r="BE8" i="6"/>
  <c r="BD8" i="6"/>
  <c r="BC8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BO7" i="6"/>
  <c r="BN7" i="6"/>
  <c r="BM7" i="6"/>
  <c r="BL7" i="6"/>
  <c r="BK7" i="6"/>
  <c r="BJ7" i="6"/>
  <c r="BI7" i="6"/>
  <c r="BH7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BO6" i="6"/>
  <c r="BN6" i="6"/>
  <c r="BM6" i="6"/>
  <c r="BL6" i="6"/>
  <c r="BK6" i="6"/>
  <c r="BJ6" i="6"/>
  <c r="BI6" i="6"/>
  <c r="BH6" i="6"/>
  <c r="BG6" i="6"/>
  <c r="BF6" i="6"/>
  <c r="BF13" i="6" s="1"/>
  <c r="BE6" i="6"/>
  <c r="BD6" i="6"/>
  <c r="BD13" i="6" s="1"/>
  <c r="BC6" i="6"/>
  <c r="BB6" i="6"/>
  <c r="BA6" i="6"/>
  <c r="AZ6" i="6"/>
  <c r="AY6" i="6"/>
  <c r="AX6" i="6"/>
  <c r="AW6" i="6"/>
  <c r="AV6" i="6"/>
  <c r="AV13" i="6" s="1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Z13" i="6" s="1"/>
  <c r="Y6" i="6"/>
  <c r="X6" i="6"/>
  <c r="W6" i="6"/>
  <c r="V6" i="6"/>
  <c r="U6" i="6"/>
  <c r="T6" i="6"/>
  <c r="S6" i="6"/>
  <c r="R6" i="6"/>
  <c r="Q6" i="6"/>
  <c r="P6" i="6"/>
  <c r="P13" i="6" s="1"/>
  <c r="O6" i="6"/>
  <c r="N6" i="6"/>
  <c r="M6" i="6"/>
  <c r="L6" i="6"/>
  <c r="K6" i="6"/>
  <c r="J6" i="6"/>
  <c r="I6" i="6"/>
  <c r="H6" i="6"/>
  <c r="BO5" i="6"/>
  <c r="BO13" i="6" s="1"/>
  <c r="BN5" i="6"/>
  <c r="BM5" i="6"/>
  <c r="BM13" i="6" s="1"/>
  <c r="BL5" i="6"/>
  <c r="BL13" i="6" s="1"/>
  <c r="BK5" i="6"/>
  <c r="BJ5" i="6"/>
  <c r="BJ13" i="6" s="1"/>
  <c r="BI5" i="6"/>
  <c r="BI13" i="6" s="1"/>
  <c r="BH5" i="6"/>
  <c r="BH13" i="6" s="1"/>
  <c r="BG5" i="6"/>
  <c r="BG13" i="6" s="1"/>
  <c r="BF5" i="6"/>
  <c r="BE5" i="6"/>
  <c r="BE13" i="6" s="1"/>
  <c r="BD5" i="6"/>
  <c r="BC5" i="6"/>
  <c r="BB5" i="6"/>
  <c r="BB13" i="6" s="1"/>
  <c r="BA5" i="6"/>
  <c r="AZ5" i="6"/>
  <c r="AZ13" i="6" s="1"/>
  <c r="AY5" i="6"/>
  <c r="AY13" i="6" s="1"/>
  <c r="AX5" i="6"/>
  <c r="AX13" i="6" s="1"/>
  <c r="AW5" i="6"/>
  <c r="AW13" i="6" s="1"/>
  <c r="AV5" i="6"/>
  <c r="AU5" i="6"/>
  <c r="AU13" i="6" s="1"/>
  <c r="AT5" i="6"/>
  <c r="AT13" i="6" s="1"/>
  <c r="AS5" i="6"/>
  <c r="AS13" i="6" s="1"/>
  <c r="AR5" i="6"/>
  <c r="AR13" i="6" s="1"/>
  <c r="AQ5" i="6"/>
  <c r="AQ13" i="6" s="1"/>
  <c r="AP5" i="6"/>
  <c r="AO5" i="6"/>
  <c r="AO13" i="6" s="1"/>
  <c r="AN5" i="6"/>
  <c r="AN13" i="6" s="1"/>
  <c r="AM5" i="6"/>
  <c r="AM13" i="6" s="1"/>
  <c r="AL5" i="6"/>
  <c r="AL13" i="6" s="1"/>
  <c r="AK5" i="6"/>
  <c r="AJ5" i="6"/>
  <c r="AJ13" i="6" s="1"/>
  <c r="AI5" i="6"/>
  <c r="AI13" i="6" s="1"/>
  <c r="AH5" i="6"/>
  <c r="AH13" i="6" s="1"/>
  <c r="AG5" i="6"/>
  <c r="AF5" i="6"/>
  <c r="AE5" i="6"/>
  <c r="AE13" i="6" s="1"/>
  <c r="AD5" i="6"/>
  <c r="AD13" i="6" s="1"/>
  <c r="AC5" i="6"/>
  <c r="AC13" i="6" s="1"/>
  <c r="AB5" i="6"/>
  <c r="AB13" i="6" s="1"/>
  <c r="AA5" i="6"/>
  <c r="AA13" i="6" s="1"/>
  <c r="Z5" i="6"/>
  <c r="Y5" i="6"/>
  <c r="X5" i="6"/>
  <c r="X13" i="6" s="1"/>
  <c r="W5" i="6"/>
  <c r="W13" i="6" s="1"/>
  <c r="V5" i="6"/>
  <c r="V13" i="6" s="1"/>
  <c r="U5" i="6"/>
  <c r="T5" i="6"/>
  <c r="T13" i="6" s="1"/>
  <c r="S5" i="6"/>
  <c r="S13" i="6" s="1"/>
  <c r="R5" i="6"/>
  <c r="R13" i="6" s="1"/>
  <c r="Q5" i="6"/>
  <c r="Q13" i="6" s="1"/>
  <c r="P5" i="6"/>
  <c r="O5" i="6"/>
  <c r="O13" i="6" s="1"/>
  <c r="N5" i="6"/>
  <c r="N13" i="6" s="1"/>
  <c r="M5" i="6"/>
  <c r="M13" i="6" s="1"/>
  <c r="L5" i="6"/>
  <c r="L13" i="6" s="1"/>
  <c r="K5" i="6"/>
  <c r="K13" i="6" s="1"/>
  <c r="J5" i="6"/>
  <c r="I5" i="6"/>
  <c r="I13" i="6" s="1"/>
  <c r="H5" i="6"/>
  <c r="H13" i="6" s="1"/>
  <c r="C21" i="4"/>
  <c r="D21" i="4" s="1"/>
  <c r="F20" i="4"/>
  <c r="G20" i="4" s="1"/>
  <c r="D20" i="4"/>
  <c r="F19" i="4"/>
  <c r="G19" i="4" s="1"/>
  <c r="D19" i="4"/>
  <c r="F18" i="4"/>
  <c r="G18" i="4" s="1"/>
  <c r="D18" i="4"/>
  <c r="F17" i="4"/>
  <c r="G17" i="4" s="1"/>
  <c r="D17" i="4"/>
  <c r="F16" i="4"/>
  <c r="G16" i="4" s="1"/>
  <c r="D16" i="4"/>
  <c r="F15" i="4"/>
  <c r="G15" i="4" s="1"/>
  <c r="D15" i="4"/>
  <c r="F14" i="4"/>
  <c r="G14" i="4" s="1"/>
  <c r="D14" i="4"/>
  <c r="F13" i="4"/>
  <c r="G13" i="4" s="1"/>
  <c r="D13" i="4"/>
  <c r="F12" i="4"/>
  <c r="G12" i="4" s="1"/>
  <c r="D12" i="4"/>
  <c r="F11" i="4"/>
  <c r="G11" i="4" s="1"/>
  <c r="D11" i="4"/>
  <c r="F10" i="4"/>
  <c r="G10" i="4" s="1"/>
  <c r="D10" i="4"/>
  <c r="F9" i="4"/>
  <c r="G9" i="4" s="1"/>
  <c r="D9" i="4"/>
  <c r="F8" i="4"/>
  <c r="G8" i="4" s="1"/>
  <c r="D8" i="4"/>
  <c r="F7" i="4"/>
  <c r="G7" i="4" s="1"/>
  <c r="D7" i="4"/>
  <c r="F6" i="4"/>
  <c r="G6" i="4" s="1"/>
  <c r="D6" i="4"/>
  <c r="F5" i="4"/>
  <c r="G5" i="4" s="1"/>
  <c r="D5" i="4"/>
  <c r="I18" i="3"/>
  <c r="G18" i="3" s="1"/>
  <c r="C18" i="3"/>
  <c r="L16" i="3"/>
  <c r="G16" i="3"/>
  <c r="H16" i="3" s="1"/>
  <c r="L15" i="3"/>
  <c r="H15" i="3"/>
  <c r="G15" i="3"/>
  <c r="L14" i="3"/>
  <c r="H14" i="3"/>
  <c r="G14" i="3"/>
  <c r="L13" i="3"/>
  <c r="H13" i="3"/>
  <c r="G13" i="3"/>
  <c r="L12" i="3"/>
  <c r="H12" i="3"/>
  <c r="G12" i="3"/>
  <c r="L11" i="3"/>
  <c r="H11" i="3"/>
  <c r="G11" i="3"/>
  <c r="L10" i="3"/>
  <c r="H10" i="3"/>
  <c r="G10" i="3"/>
  <c r="L9" i="3"/>
  <c r="H9" i="3"/>
  <c r="G9" i="3"/>
  <c r="L8" i="3"/>
  <c r="H8" i="3"/>
  <c r="G8" i="3"/>
  <c r="L7" i="3"/>
  <c r="G7" i="3"/>
  <c r="H7" i="3" s="1"/>
  <c r="L6" i="3"/>
  <c r="H6" i="3"/>
  <c r="G6" i="3"/>
  <c r="L5" i="3"/>
  <c r="H5" i="3"/>
  <c r="G5" i="3"/>
  <c r="C28" i="2"/>
  <c r="BF8" i="1" s="1"/>
  <c r="I16" i="2"/>
  <c r="I14" i="2"/>
  <c r="I13" i="2"/>
  <c r="F13" i="2"/>
  <c r="C10" i="7" s="1"/>
  <c r="L9" i="2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J25" i="1"/>
  <c r="BI25" i="1"/>
  <c r="BG25" i="1"/>
  <c r="BE25" i="1"/>
  <c r="BB25" i="1"/>
  <c r="BA25" i="1"/>
  <c r="AY25" i="1"/>
  <c r="AW25" i="1"/>
  <c r="AT25" i="1"/>
  <c r="AS25" i="1"/>
  <c r="AQ25" i="1"/>
  <c r="AP25" i="1"/>
  <c r="AO25" i="1"/>
  <c r="AN25" i="1"/>
  <c r="AL25" i="1"/>
  <c r="AK25" i="1"/>
  <c r="AI25" i="1"/>
  <c r="AH25" i="1"/>
  <c r="AG25" i="1"/>
  <c r="AF25" i="1"/>
  <c r="AD25" i="1"/>
  <c r="AC25" i="1"/>
  <c r="AB25" i="1"/>
  <c r="AA25" i="1"/>
  <c r="Z25" i="1"/>
  <c r="Y25" i="1"/>
  <c r="X25" i="1"/>
  <c r="V25" i="1"/>
  <c r="U25" i="1"/>
  <c r="T25" i="1"/>
  <c r="S25" i="1"/>
  <c r="R25" i="1"/>
  <c r="Q25" i="1"/>
  <c r="P25" i="1"/>
  <c r="N25" i="1"/>
  <c r="M25" i="1"/>
  <c r="K25" i="1"/>
  <c r="J25" i="1"/>
  <c r="I25" i="1"/>
  <c r="H25" i="1"/>
  <c r="F25" i="1"/>
  <c r="E25" i="1"/>
  <c r="C25" i="1"/>
  <c r="AT8" i="1"/>
  <c r="AL8" i="1"/>
  <c r="F8" i="1"/>
  <c r="J41" i="5"/>
  <c r="AI37" i="5"/>
  <c r="W37" i="5"/>
  <c r="M37" i="5"/>
  <c r="G37" i="5"/>
  <c r="I37" i="5"/>
  <c r="CB37" i="5" s="1"/>
  <c r="H37" i="5"/>
  <c r="F37" i="5"/>
  <c r="E37" i="5"/>
  <c r="C37" i="5"/>
  <c r="D37" i="5" s="1"/>
  <c r="B37" i="5"/>
  <c r="A37" i="5"/>
  <c r="M34" i="5"/>
  <c r="G34" i="5"/>
  <c r="I34" i="5"/>
  <c r="AQ34" i="5" s="1"/>
  <c r="H34" i="5"/>
  <c r="F34" i="5"/>
  <c r="E34" i="5"/>
  <c r="C34" i="5"/>
  <c r="B34" i="5"/>
  <c r="A34" i="5"/>
  <c r="BT31" i="5"/>
  <c r="BJ31" i="5"/>
  <c r="AM31" i="5"/>
  <c r="AC31" i="5"/>
  <c r="M31" i="5"/>
  <c r="G31" i="5"/>
  <c r="I31" i="5"/>
  <c r="BW31" i="5" s="1"/>
  <c r="H31" i="5"/>
  <c r="F31" i="5"/>
  <c r="E31" i="5"/>
  <c r="C31" i="5"/>
  <c r="D31" i="5" s="1"/>
  <c r="B31" i="5"/>
  <c r="A31" i="5"/>
  <c r="M28" i="5"/>
  <c r="G28" i="5"/>
  <c r="I28" i="5"/>
  <c r="BM28" i="5" s="1"/>
  <c r="H28" i="5"/>
  <c r="F28" i="5"/>
  <c r="E28" i="5"/>
  <c r="C28" i="5"/>
  <c r="D28" i="5" s="1"/>
  <c r="B28" i="5"/>
  <c r="A28" i="5"/>
  <c r="AF25" i="5"/>
  <c r="M25" i="5"/>
  <c r="G25" i="5"/>
  <c r="I25" i="5"/>
  <c r="CB25" i="5" s="1"/>
  <c r="H25" i="5"/>
  <c r="F25" i="5"/>
  <c r="E25" i="5"/>
  <c r="C25" i="5"/>
  <c r="B25" i="5"/>
  <c r="A25" i="5"/>
  <c r="M22" i="5"/>
  <c r="G22" i="5"/>
  <c r="I22" i="5"/>
  <c r="AV22" i="5" s="1"/>
  <c r="H22" i="5"/>
  <c r="F22" i="5"/>
  <c r="E22" i="5"/>
  <c r="C22" i="5"/>
  <c r="D22" i="5" s="1"/>
  <c r="B22" i="5"/>
  <c r="A22" i="5"/>
  <c r="M19" i="5"/>
  <c r="G19" i="5"/>
  <c r="I19" i="5"/>
  <c r="BZ19" i="5" s="1"/>
  <c r="H19" i="5"/>
  <c r="F19" i="5"/>
  <c r="E19" i="5"/>
  <c r="C19" i="5"/>
  <c r="B19" i="5"/>
  <c r="A19" i="5"/>
  <c r="BX16" i="5"/>
  <c r="BU16" i="5"/>
  <c r="BB16" i="5"/>
  <c r="Y16" i="5"/>
  <c r="V16" i="5"/>
  <c r="M16" i="5"/>
  <c r="G16" i="5"/>
  <c r="I16" i="5"/>
  <c r="CD16" i="5" s="1"/>
  <c r="H16" i="5"/>
  <c r="F16" i="5"/>
  <c r="E16" i="5"/>
  <c r="C16" i="5"/>
  <c r="D16" i="5" s="1"/>
  <c r="B16" i="5"/>
  <c r="A16" i="5"/>
  <c r="M13" i="5"/>
  <c r="G13" i="5"/>
  <c r="I13" i="5"/>
  <c r="BH13" i="5" s="1"/>
  <c r="H13" i="5"/>
  <c r="F13" i="5"/>
  <c r="E13" i="5"/>
  <c r="C13" i="5"/>
  <c r="B13" i="5"/>
  <c r="A13" i="5"/>
  <c r="CB10" i="5"/>
  <c r="CA10" i="5"/>
  <c r="AZ10" i="5"/>
  <c r="AP10" i="5"/>
  <c r="AF10" i="5"/>
  <c r="X10" i="5"/>
  <c r="M10" i="5"/>
  <c r="G10" i="5"/>
  <c r="I10" i="5"/>
  <c r="BQ10" i="5" s="1"/>
  <c r="H10" i="5"/>
  <c r="F10" i="5"/>
  <c r="E10" i="5"/>
  <c r="C10" i="5"/>
  <c r="D10" i="5" s="1"/>
  <c r="B10" i="5"/>
  <c r="A10" i="5"/>
  <c r="AA7" i="5"/>
  <c r="M7" i="5"/>
  <c r="G7" i="5"/>
  <c r="I7" i="5"/>
  <c r="CB7" i="5" s="1"/>
  <c r="H7" i="5"/>
  <c r="F7" i="5"/>
  <c r="E7" i="5"/>
  <c r="C7" i="5"/>
  <c r="D7" i="5" s="1"/>
  <c r="B7" i="5"/>
  <c r="A7" i="5"/>
  <c r="M4" i="5"/>
  <c r="G4" i="5"/>
  <c r="I4" i="5"/>
  <c r="AL4" i="5" s="1"/>
  <c r="H4" i="5"/>
  <c r="F4" i="5"/>
  <c r="E4" i="5"/>
  <c r="C4" i="5"/>
  <c r="B4" i="5"/>
  <c r="A4" i="5"/>
  <c r="BB8" i="1" l="1"/>
  <c r="N8" i="1"/>
  <c r="V8" i="1"/>
  <c r="AD8" i="1"/>
  <c r="AM8" i="1"/>
  <c r="H8" i="1"/>
  <c r="P8" i="1"/>
  <c r="X8" i="1"/>
  <c r="AF8" i="1"/>
  <c r="AN8" i="1"/>
  <c r="AV8" i="1"/>
  <c r="BD8" i="1"/>
  <c r="O8" i="1"/>
  <c r="BC8" i="1"/>
  <c r="I8" i="1"/>
  <c r="Q8" i="1"/>
  <c r="Y8" i="1"/>
  <c r="AG8" i="1"/>
  <c r="AO8" i="1"/>
  <c r="AW8" i="1"/>
  <c r="BE8" i="1"/>
  <c r="W8" i="1"/>
  <c r="J8" i="1"/>
  <c r="R8" i="1"/>
  <c r="Z8" i="1"/>
  <c r="AH8" i="1"/>
  <c r="AP8" i="1"/>
  <c r="AX8" i="1"/>
  <c r="BG8" i="1"/>
  <c r="I15" i="2"/>
  <c r="I20" i="2" s="1"/>
  <c r="G8" i="1"/>
  <c r="AU8" i="1"/>
  <c r="C8" i="1"/>
  <c r="K8" i="1"/>
  <c r="S8" i="1"/>
  <c r="AA8" i="1"/>
  <c r="AI8" i="1"/>
  <c r="AQ8" i="1"/>
  <c r="AY8" i="1"/>
  <c r="BH8" i="1"/>
  <c r="C16" i="2"/>
  <c r="AE8" i="1"/>
  <c r="D8" i="1"/>
  <c r="L8" i="1"/>
  <c r="T8" i="1"/>
  <c r="AB8" i="1"/>
  <c r="AJ8" i="1"/>
  <c r="AR8" i="1"/>
  <c r="AZ8" i="1"/>
  <c r="BI8" i="1"/>
  <c r="E8" i="1"/>
  <c r="M8" i="1"/>
  <c r="U8" i="1"/>
  <c r="AC8" i="1"/>
  <c r="AK8" i="1"/>
  <c r="AS8" i="1"/>
  <c r="BA8" i="1"/>
  <c r="BJ8" i="1"/>
  <c r="I6" i="2"/>
  <c r="F20" i="7"/>
  <c r="O20" i="7"/>
  <c r="W20" i="7"/>
  <c r="AE20" i="7"/>
  <c r="AM20" i="7"/>
  <c r="AU20" i="7"/>
  <c r="BC20" i="7"/>
  <c r="C20" i="7"/>
  <c r="G20" i="7"/>
  <c r="P20" i="7"/>
  <c r="X20" i="7"/>
  <c r="AF20" i="7"/>
  <c r="AN20" i="7"/>
  <c r="AV20" i="7"/>
  <c r="BD20" i="7"/>
  <c r="K20" i="7"/>
  <c r="T20" i="7"/>
  <c r="AB20" i="7"/>
  <c r="AJ20" i="7"/>
  <c r="AR20" i="7"/>
  <c r="AZ20" i="7"/>
  <c r="BH20" i="7"/>
  <c r="J20" i="7"/>
  <c r="Y20" i="7"/>
  <c r="AK20" i="7"/>
  <c r="AX20" i="7"/>
  <c r="BJ20" i="7"/>
  <c r="L20" i="7"/>
  <c r="Z20" i="7"/>
  <c r="AL20" i="7"/>
  <c r="AY20" i="7"/>
  <c r="M20" i="7"/>
  <c r="AA20" i="7"/>
  <c r="AO20" i="7"/>
  <c r="BA20" i="7"/>
  <c r="E20" i="7"/>
  <c r="S20" i="7"/>
  <c r="AG20" i="7"/>
  <c r="AS20" i="7"/>
  <c r="BF20" i="7"/>
  <c r="R20" i="7"/>
  <c r="AQ20" i="7"/>
  <c r="U20" i="7"/>
  <c r="AW20" i="7"/>
  <c r="AT20" i="7"/>
  <c r="V20" i="7"/>
  <c r="AC20" i="7"/>
  <c r="D20" i="7"/>
  <c r="H20" i="7"/>
  <c r="I20" i="7"/>
  <c r="AI20" i="7"/>
  <c r="BI20" i="7"/>
  <c r="AP20" i="7"/>
  <c r="BG20" i="7"/>
  <c r="AD20" i="7"/>
  <c r="AH20" i="7"/>
  <c r="BB20" i="7"/>
  <c r="BE20" i="7"/>
  <c r="F21" i="4"/>
  <c r="AZ19" i="5"/>
  <c r="AZ20" i="5" s="1"/>
  <c r="AZ21" i="5" s="1"/>
  <c r="AG19" i="5"/>
  <c r="CC19" i="5"/>
  <c r="BC16" i="5"/>
  <c r="AO19" i="5"/>
  <c r="AE31" i="5"/>
  <c r="BK31" i="5"/>
  <c r="BK32" i="5" s="1"/>
  <c r="BK33" i="5" s="1"/>
  <c r="AN10" i="5"/>
  <c r="AN11" i="5" s="1"/>
  <c r="AN12" i="5" s="1"/>
  <c r="BJ16" i="5"/>
  <c r="AR19" i="5"/>
  <c r="AR20" i="5" s="1"/>
  <c r="AR21" i="5" s="1"/>
  <c r="AL31" i="5"/>
  <c r="BQ31" i="5"/>
  <c r="AI38" i="5"/>
  <c r="AX25" i="5"/>
  <c r="AH7" i="5"/>
  <c r="AH8" i="5" s="1"/>
  <c r="AH9" i="5" s="1"/>
  <c r="CB31" i="5"/>
  <c r="CB32" i="5" s="1"/>
  <c r="CB33" i="5" s="1"/>
  <c r="BN7" i="5"/>
  <c r="BJ10" i="5"/>
  <c r="AD16" i="5"/>
  <c r="X19" i="5"/>
  <c r="X20" i="5" s="1"/>
  <c r="BQ19" i="5"/>
  <c r="BA31" i="5"/>
  <c r="BH19" i="5"/>
  <c r="BH20" i="5" s="1"/>
  <c r="BH21" i="5" s="1"/>
  <c r="AS31" i="5"/>
  <c r="BY31" i="5"/>
  <c r="BI10" i="5"/>
  <c r="BI11" i="5" s="1"/>
  <c r="BI12" i="5" s="1"/>
  <c r="BJ19" i="5"/>
  <c r="AV31" i="5"/>
  <c r="BU10" i="5"/>
  <c r="AO16" i="5"/>
  <c r="Y19" i="5"/>
  <c r="Y20" i="5" s="1"/>
  <c r="Y21" i="5" s="1"/>
  <c r="CB19" i="5"/>
  <c r="CB20" i="5" s="1"/>
  <c r="CB21" i="5" s="1"/>
  <c r="W31" i="5"/>
  <c r="BD31" i="5"/>
  <c r="AD34" i="5"/>
  <c r="AV32" i="5"/>
  <c r="AA19" i="5"/>
  <c r="AA20" i="5" s="1"/>
  <c r="AA21" i="5" s="1"/>
  <c r="AT19" i="5"/>
  <c r="AT20" i="5" s="1"/>
  <c r="AT21" i="5" s="1"/>
  <c r="BM19" i="5"/>
  <c r="BM20" i="5" s="1"/>
  <c r="BM21" i="5" s="1"/>
  <c r="BS25" i="5"/>
  <c r="BS26" i="5" s="1"/>
  <c r="BS27" i="5" s="1"/>
  <c r="AF31" i="5"/>
  <c r="R27" i="6" s="1"/>
  <c r="AW31" i="5"/>
  <c r="BM31" i="5"/>
  <c r="BM32" i="5" s="1"/>
  <c r="BM33" i="5" s="1"/>
  <c r="CC31" i="5"/>
  <c r="CC32" i="5" s="1"/>
  <c r="BE37" i="5"/>
  <c r="Y10" i="5"/>
  <c r="Y11" i="5" s="1"/>
  <c r="BL10" i="5"/>
  <c r="AC16" i="5"/>
  <c r="BM16" i="5"/>
  <c r="BM17" i="5" s="1"/>
  <c r="AB19" i="5"/>
  <c r="AV19" i="5"/>
  <c r="BP19" i="5"/>
  <c r="BC23" i="6" s="1"/>
  <c r="AQ22" i="5"/>
  <c r="AJ31" i="5"/>
  <c r="AJ32" i="5" s="1"/>
  <c r="AJ33" i="5" s="1"/>
  <c r="AX31" i="5"/>
  <c r="BP31" i="5"/>
  <c r="AX22" i="5"/>
  <c r="AX23" i="5" s="1"/>
  <c r="CA11" i="5"/>
  <c r="CA12" i="5" s="1"/>
  <c r="BX17" i="5"/>
  <c r="AR16" i="5"/>
  <c r="AR17" i="5" s="1"/>
  <c r="BY16" i="5"/>
  <c r="BK22" i="6" s="1"/>
  <c r="AK19" i="5"/>
  <c r="AK20" i="5" s="1"/>
  <c r="AK21" i="5" s="1"/>
  <c r="BD19" i="5"/>
  <c r="BD20" i="5" s="1"/>
  <c r="BD21" i="5" s="1"/>
  <c r="BW19" i="5"/>
  <c r="BV22" i="5"/>
  <c r="BV23" i="5" s="1"/>
  <c r="BV24" i="5" s="1"/>
  <c r="Y31" i="5"/>
  <c r="AN31" i="5"/>
  <c r="BE31" i="5"/>
  <c r="BV31" i="5"/>
  <c r="BA34" i="5"/>
  <c r="AI19" i="5"/>
  <c r="AI20" i="5" s="1"/>
  <c r="BA19" i="5"/>
  <c r="BA20" i="5" s="1"/>
  <c r="BR19" i="5"/>
  <c r="BP22" i="5"/>
  <c r="AF34" i="5"/>
  <c r="AR10" i="5"/>
  <c r="AR11" i="5" s="1"/>
  <c r="AR12" i="5" s="1"/>
  <c r="AT16" i="5"/>
  <c r="AT17" i="5" s="1"/>
  <c r="AT18" i="5" s="1"/>
  <c r="AL19" i="5"/>
  <c r="AL20" i="5" s="1"/>
  <c r="AL21" i="5" s="1"/>
  <c r="BE19" i="5"/>
  <c r="AQ23" i="6" s="1"/>
  <c r="BX19" i="5"/>
  <c r="BX20" i="5" s="1"/>
  <c r="BX21" i="5" s="1"/>
  <c r="Z31" i="5"/>
  <c r="Z32" i="5" s="1"/>
  <c r="Z33" i="5" s="1"/>
  <c r="AR31" i="5"/>
  <c r="BH31" i="5"/>
  <c r="BX31" i="5"/>
  <c r="AA8" i="5"/>
  <c r="AH25" i="5"/>
  <c r="AZ25" i="5"/>
  <c r="AZ26" i="5" s="1"/>
  <c r="AZ27" i="5" s="1"/>
  <c r="BV25" i="5"/>
  <c r="BV26" i="5" s="1"/>
  <c r="BV27" i="5" s="1"/>
  <c r="BG4" i="5"/>
  <c r="BG5" i="5" s="1"/>
  <c r="BG6" i="5" s="1"/>
  <c r="Y25" i="5"/>
  <c r="L25" i="6" s="1"/>
  <c r="AR25" i="5"/>
  <c r="BK25" i="5"/>
  <c r="BK26" i="5" s="1"/>
  <c r="BK27" i="5" s="1"/>
  <c r="BR4" i="5"/>
  <c r="CB8" i="5"/>
  <c r="CB9" i="5" s="1"/>
  <c r="BR7" i="5"/>
  <c r="AK10" i="5"/>
  <c r="AK11" i="5" s="1"/>
  <c r="BC10" i="5"/>
  <c r="BC11" i="5" s="1"/>
  <c r="BC12" i="5" s="1"/>
  <c r="BV10" i="5"/>
  <c r="Z25" i="5"/>
  <c r="Z26" i="5" s="1"/>
  <c r="Z27" i="5" s="1"/>
  <c r="AU25" i="5"/>
  <c r="AU26" i="5" s="1"/>
  <c r="AU27" i="5" s="1"/>
  <c r="BM25" i="5"/>
  <c r="BO34" i="5"/>
  <c r="BT37" i="5"/>
  <c r="CB4" i="5"/>
  <c r="CB5" i="5" s="1"/>
  <c r="CB6" i="5" s="1"/>
  <c r="BW7" i="5"/>
  <c r="BW8" i="5" s="1"/>
  <c r="BW9" i="5" s="1"/>
  <c r="AL10" i="5"/>
  <c r="AL11" i="5" s="1"/>
  <c r="AL12" i="5" s="1"/>
  <c r="BD10" i="5"/>
  <c r="BD11" i="5" s="1"/>
  <c r="BD12" i="5" s="1"/>
  <c r="BY10" i="5"/>
  <c r="BY11" i="5" s="1"/>
  <c r="BY12" i="5" s="1"/>
  <c r="W16" i="5"/>
  <c r="W17" i="5" s="1"/>
  <c r="AS16" i="5"/>
  <c r="BS16" i="5"/>
  <c r="BS17" i="5" s="1"/>
  <c r="BS18" i="5" s="1"/>
  <c r="V19" i="5"/>
  <c r="AJ19" i="5"/>
  <c r="AJ20" i="5" s="1"/>
  <c r="AJ21" i="5" s="1"/>
  <c r="AW19" i="5"/>
  <c r="BL19" i="5"/>
  <c r="BL20" i="5" s="1"/>
  <c r="BY19" i="5"/>
  <c r="BY20" i="5" s="1"/>
  <c r="BY21" i="5" s="1"/>
  <c r="AB25" i="5"/>
  <c r="AW25" i="5"/>
  <c r="BP25" i="5"/>
  <c r="BP26" i="5" s="1"/>
  <c r="BP27" i="5" s="1"/>
  <c r="V31" i="5"/>
  <c r="AH31" i="5"/>
  <c r="AU31" i="5"/>
  <c r="AU32" i="5" s="1"/>
  <c r="BF31" i="5"/>
  <c r="BS31" i="5"/>
  <c r="BP34" i="5"/>
  <c r="BU37" i="5"/>
  <c r="CB11" i="5"/>
  <c r="CB12" i="5" s="1"/>
  <c r="AL25" i="5"/>
  <c r="AL26" i="5" s="1"/>
  <c r="AL27" i="5" s="1"/>
  <c r="BE25" i="5"/>
  <c r="BW25" i="5"/>
  <c r="AA4" i="5"/>
  <c r="AL7" i="5"/>
  <c r="AB10" i="5"/>
  <c r="AW10" i="5"/>
  <c r="AW11" i="5" s="1"/>
  <c r="BP10" i="5"/>
  <c r="BP11" i="5" s="1"/>
  <c r="BP12" i="5" s="1"/>
  <c r="AJ16" i="5"/>
  <c r="AJ17" i="5" s="1"/>
  <c r="AJ18" i="5" s="1"/>
  <c r="BE16" i="5"/>
  <c r="BE17" i="5" s="1"/>
  <c r="BZ16" i="5"/>
  <c r="AM25" i="5"/>
  <c r="BF25" i="5"/>
  <c r="BF26" i="5" s="1"/>
  <c r="BF27" i="5" s="1"/>
  <c r="BX25" i="5"/>
  <c r="BM29" i="5"/>
  <c r="BM30" i="5" s="1"/>
  <c r="AP34" i="5"/>
  <c r="AC28" i="6" s="1"/>
  <c r="AM37" i="5"/>
  <c r="AS7" i="5"/>
  <c r="AS8" i="5" s="1"/>
  <c r="AS9" i="5" s="1"/>
  <c r="AE10" i="5"/>
  <c r="AX10" i="5"/>
  <c r="AX11" i="5" s="1"/>
  <c r="AX12" i="5" s="1"/>
  <c r="AO13" i="5"/>
  <c r="AO14" i="5" s="1"/>
  <c r="AM16" i="5"/>
  <c r="BI16" i="5"/>
  <c r="AF19" i="5"/>
  <c r="AS19" i="5"/>
  <c r="AE23" i="6" s="1"/>
  <c r="BG19" i="5"/>
  <c r="BU19" i="5"/>
  <c r="BU20" i="5" s="1"/>
  <c r="BU21" i="5" s="1"/>
  <c r="V25" i="5"/>
  <c r="AN25" i="5"/>
  <c r="AN26" i="5" s="1"/>
  <c r="AN27" i="5" s="1"/>
  <c r="BJ25" i="5"/>
  <c r="CC25" i="5"/>
  <c r="CC26" i="5" s="1"/>
  <c r="CC27" i="5" s="1"/>
  <c r="AD31" i="5"/>
  <c r="AD32" i="5" s="1"/>
  <c r="AO31" i="5"/>
  <c r="BB31" i="5"/>
  <c r="BB32" i="5" s="1"/>
  <c r="BB33" i="5" s="1"/>
  <c r="BN31" i="5"/>
  <c r="BZ31" i="5"/>
  <c r="AY37" i="5"/>
  <c r="AY38" i="5" s="1"/>
  <c r="AZ11" i="5"/>
  <c r="AZ12" i="5" s="1"/>
  <c r="AQ7" i="5"/>
  <c r="AQ8" i="5" s="1"/>
  <c r="AQ9" i="5" s="1"/>
  <c r="BW10" i="5"/>
  <c r="BI20" i="6" s="1"/>
  <c r="CC10" i="5"/>
  <c r="CC11" i="5" s="1"/>
  <c r="BT10" i="5"/>
  <c r="BG20" i="6" s="1"/>
  <c r="BK10" i="5"/>
  <c r="BK11" i="5" s="1"/>
  <c r="BK12" i="5" s="1"/>
  <c r="BB10" i="5"/>
  <c r="BB11" i="5" s="1"/>
  <c r="BB12" i="5" s="1"/>
  <c r="AS10" i="5"/>
  <c r="AS11" i="5" s="1"/>
  <c r="AS12" i="5" s="1"/>
  <c r="AJ10" i="5"/>
  <c r="AJ11" i="5" s="1"/>
  <c r="AJ12" i="5" s="1"/>
  <c r="Z10" i="5"/>
  <c r="Z11" i="5" s="1"/>
  <c r="Z12" i="5" s="1"/>
  <c r="BX10" i="5"/>
  <c r="BJ20" i="6" s="1"/>
  <c r="BN10" i="5"/>
  <c r="BE10" i="5"/>
  <c r="AV10" i="5"/>
  <c r="AV11" i="5" s="1"/>
  <c r="AV12" i="5" s="1"/>
  <c r="AM10" i="5"/>
  <c r="AD10" i="5"/>
  <c r="AC10" i="5"/>
  <c r="AC11" i="5" s="1"/>
  <c r="AO10" i="5"/>
  <c r="AA20" i="6" s="1"/>
  <c r="BA10" i="5"/>
  <c r="AM20" i="6" s="1"/>
  <c r="BM10" i="5"/>
  <c r="BZ10" i="5"/>
  <c r="BZ11" i="5" s="1"/>
  <c r="BZ12" i="5" s="1"/>
  <c r="BY22" i="5"/>
  <c r="BY23" i="5" s="1"/>
  <c r="BY24" i="5" s="1"/>
  <c r="BH22" i="5"/>
  <c r="BH23" i="5" s="1"/>
  <c r="Y22" i="5"/>
  <c r="Y23" i="5" s="1"/>
  <c r="Y24" i="5" s="1"/>
  <c r="BD22" i="5"/>
  <c r="BD23" i="5" s="1"/>
  <c r="BD24" i="5" s="1"/>
  <c r="X22" i="5"/>
  <c r="X23" i="5" s="1"/>
  <c r="X24" i="5" s="1"/>
  <c r="BT22" i="5"/>
  <c r="BT23" i="5" s="1"/>
  <c r="BT24" i="5" s="1"/>
  <c r="AK22" i="5"/>
  <c r="BI22" i="5"/>
  <c r="BR13" i="5"/>
  <c r="BR14" i="5" s="1"/>
  <c r="BR15" i="5" s="1"/>
  <c r="BY13" i="5"/>
  <c r="BY14" i="5" s="1"/>
  <c r="BY15" i="5" s="1"/>
  <c r="AV13" i="5"/>
  <c r="AV14" i="5" s="1"/>
  <c r="BW13" i="5"/>
  <c r="BW14" i="5" s="1"/>
  <c r="BW15" i="5" s="1"/>
  <c r="AS13" i="5"/>
  <c r="AS14" i="5" s="1"/>
  <c r="AS15" i="5" s="1"/>
  <c r="BG13" i="5"/>
  <c r="BG14" i="5" s="1"/>
  <c r="BG15" i="5" s="1"/>
  <c r="AG13" i="5"/>
  <c r="AA13" i="5"/>
  <c r="BN13" i="5"/>
  <c r="BN14" i="5" s="1"/>
  <c r="BN15" i="5" s="1"/>
  <c r="AZ13" i="5"/>
  <c r="BA28" i="5"/>
  <c r="BA29" i="5" s="1"/>
  <c r="BA30" i="5" s="1"/>
  <c r="AO28" i="5"/>
  <c r="AN28" i="5"/>
  <c r="AN29" i="5" s="1"/>
  <c r="AN30" i="5" s="1"/>
  <c r="AC28" i="5"/>
  <c r="AC29" i="5" s="1"/>
  <c r="AC30" i="5" s="1"/>
  <c r="AA28" i="5"/>
  <c r="AA29" i="5" s="1"/>
  <c r="BZ28" i="5"/>
  <c r="BA13" i="5"/>
  <c r="BT7" i="5"/>
  <c r="BT8" i="5" s="1"/>
  <c r="BT9" i="5" s="1"/>
  <c r="BY7" i="5"/>
  <c r="BY8" i="5" s="1"/>
  <c r="BY9" i="5" s="1"/>
  <c r="AV7" i="5"/>
  <c r="AV8" i="5" s="1"/>
  <c r="V7" i="5"/>
  <c r="D35" i="6" s="1"/>
  <c r="BG7" i="5"/>
  <c r="BG8" i="5" s="1"/>
  <c r="AF7" i="5"/>
  <c r="AF8" i="5" s="1"/>
  <c r="BB7" i="5"/>
  <c r="AB13" i="5"/>
  <c r="AB14" i="5" s="1"/>
  <c r="AB15" i="5" s="1"/>
  <c r="BQ13" i="5"/>
  <c r="AX26" i="5"/>
  <c r="AX27" i="5" s="1"/>
  <c r="BY28" i="5"/>
  <c r="BU4" i="5"/>
  <c r="BU5" i="5" s="1"/>
  <c r="BU6" i="5" s="1"/>
  <c r="AV4" i="5"/>
  <c r="AV5" i="5" s="1"/>
  <c r="AV6" i="5" s="1"/>
  <c r="BC7" i="5"/>
  <c r="BC8" i="5" s="1"/>
  <c r="BC9" i="5" s="1"/>
  <c r="V10" i="5"/>
  <c r="AG10" i="5"/>
  <c r="AG11" i="5" s="1"/>
  <c r="AT10" i="5"/>
  <c r="AT11" i="5" s="1"/>
  <c r="AT12" i="5" s="1"/>
  <c r="BF10" i="5"/>
  <c r="BR10" i="5"/>
  <c r="BD20" i="6" s="1"/>
  <c r="CD10" i="5"/>
  <c r="AI13" i="5"/>
  <c r="CD13" i="5"/>
  <c r="CD14" i="5" s="1"/>
  <c r="CB16" i="5"/>
  <c r="CC16" i="5"/>
  <c r="CC17" i="5" s="1"/>
  <c r="BR16" i="5"/>
  <c r="BH16" i="5"/>
  <c r="AW16" i="5"/>
  <c r="AL16" i="5"/>
  <c r="AB16" i="5"/>
  <c r="AB17" i="5" s="1"/>
  <c r="AB18" i="5" s="1"/>
  <c r="CA16" i="5"/>
  <c r="CA17" i="5" s="1"/>
  <c r="CA18" i="5" s="1"/>
  <c r="BQ16" i="5"/>
  <c r="BQ17" i="5" s="1"/>
  <c r="BF16" i="5"/>
  <c r="BF17" i="5" s="1"/>
  <c r="BF18" i="5" s="1"/>
  <c r="AU16" i="5"/>
  <c r="AK16" i="5"/>
  <c r="Z16" i="5"/>
  <c r="L22" i="6" s="1"/>
  <c r="BV16" i="5"/>
  <c r="BV17" i="5" s="1"/>
  <c r="BV18" i="5" s="1"/>
  <c r="BK16" i="5"/>
  <c r="BK17" i="5" s="1"/>
  <c r="BA16" i="5"/>
  <c r="BA17" i="5" s="1"/>
  <c r="BA18" i="5" s="1"/>
  <c r="AP16" i="5"/>
  <c r="AP17" i="5" s="1"/>
  <c r="AP18" i="5" s="1"/>
  <c r="AE16" i="5"/>
  <c r="AE17" i="5" s="1"/>
  <c r="AE18" i="5" s="1"/>
  <c r="AG16" i="5"/>
  <c r="AG17" i="5" s="1"/>
  <c r="AG18" i="5" s="1"/>
  <c r="AX16" i="5"/>
  <c r="BN16" i="5"/>
  <c r="BN17" i="5" s="1"/>
  <c r="AF22" i="5"/>
  <c r="CB22" i="5"/>
  <c r="CB23" i="5" s="1"/>
  <c r="CB24" i="5" s="1"/>
  <c r="W7" i="5"/>
  <c r="W8" i="5" s="1"/>
  <c r="BL7" i="5"/>
  <c r="BL8" i="5" s="1"/>
  <c r="W10" i="5"/>
  <c r="AH10" i="5"/>
  <c r="AH11" i="5" s="1"/>
  <c r="AH12" i="5" s="1"/>
  <c r="AU10" i="5"/>
  <c r="AH20" i="6" s="1"/>
  <c r="BH10" i="5"/>
  <c r="BS10" i="5"/>
  <c r="AN13" i="5"/>
  <c r="AN14" i="5" s="1"/>
  <c r="AN15" i="5" s="1"/>
  <c r="AH16" i="5"/>
  <c r="AH17" i="5" s="1"/>
  <c r="AZ16" i="5"/>
  <c r="AZ17" i="5" s="1"/>
  <c r="AZ18" i="5" s="1"/>
  <c r="BP16" i="5"/>
  <c r="BP17" i="5" s="1"/>
  <c r="BP18" i="5" s="1"/>
  <c r="AO20" i="5"/>
  <c r="AO21" i="5" s="1"/>
  <c r="AI22" i="5"/>
  <c r="AI23" i="5" s="1"/>
  <c r="AI24" i="5" s="1"/>
  <c r="BW34" i="5"/>
  <c r="BW35" i="5" s="1"/>
  <c r="BW36" i="5" s="1"/>
  <c r="CD34" i="5"/>
  <c r="CD35" i="5" s="1"/>
  <c r="CD36" i="5" s="1"/>
  <c r="BN34" i="5"/>
  <c r="BN35" i="5" s="1"/>
  <c r="BN36" i="5" s="1"/>
  <c r="AZ34" i="5"/>
  <c r="AO34" i="5"/>
  <c r="AC34" i="5"/>
  <c r="CC34" i="5"/>
  <c r="BJ34" i="5"/>
  <c r="AY34" i="5"/>
  <c r="AK28" i="6" s="1"/>
  <c r="AN34" i="5"/>
  <c r="AN35" i="5" s="1"/>
  <c r="AN36" i="5" s="1"/>
  <c r="Z34" i="5"/>
  <c r="Z35" i="5" s="1"/>
  <c r="Z36" i="5" s="1"/>
  <c r="CB34" i="5"/>
  <c r="BI34" i="5"/>
  <c r="AX34" i="5"/>
  <c r="AL34" i="5"/>
  <c r="AL35" i="5" s="1"/>
  <c r="AL36" i="5" s="1"/>
  <c r="Y34" i="5"/>
  <c r="BV34" i="5"/>
  <c r="BH34" i="5"/>
  <c r="AT28" i="6" s="1"/>
  <c r="AW34" i="5"/>
  <c r="AW35" i="5" s="1"/>
  <c r="AW36" i="5" s="1"/>
  <c r="AI34" i="5"/>
  <c r="X34" i="5"/>
  <c r="X35" i="5" s="1"/>
  <c r="X36" i="5" s="1"/>
  <c r="BU34" i="5"/>
  <c r="BG34" i="5"/>
  <c r="AV34" i="5"/>
  <c r="AH34" i="5"/>
  <c r="AH35" i="5" s="1"/>
  <c r="AH36" i="5" s="1"/>
  <c r="V34" i="5"/>
  <c r="BT34" i="5"/>
  <c r="BF34" i="5"/>
  <c r="AR34" i="5"/>
  <c r="AR35" i="5" s="1"/>
  <c r="AG34" i="5"/>
  <c r="BE34" i="5"/>
  <c r="W25" i="5"/>
  <c r="W26" i="5" s="1"/>
  <c r="W27" i="5" s="1"/>
  <c r="AI25" i="5"/>
  <c r="AV25" i="5"/>
  <c r="AH25" i="6" s="1"/>
  <c r="BG25" i="5"/>
  <c r="BG26" i="5" s="1"/>
  <c r="BT25" i="5"/>
  <c r="BT26" i="5" s="1"/>
  <c r="BT27" i="5" s="1"/>
  <c r="AB31" i="5"/>
  <c r="O27" i="6" s="1"/>
  <c r="AK31" i="5"/>
  <c r="AT31" i="5"/>
  <c r="BC31" i="5"/>
  <c r="AP27" i="6" s="1"/>
  <c r="BL31" i="5"/>
  <c r="BL32" i="5" s="1"/>
  <c r="BU31" i="5"/>
  <c r="BG27" i="6" s="1"/>
  <c r="CD31" i="5"/>
  <c r="X37" i="5"/>
  <c r="AN37" i="5"/>
  <c r="AN38" i="5" s="1"/>
  <c r="AN39" i="5" s="1"/>
  <c r="BF37" i="5"/>
  <c r="BV37" i="5"/>
  <c r="Y37" i="5"/>
  <c r="Y38" i="5" s="1"/>
  <c r="Y39" i="5" s="1"/>
  <c r="AQ37" i="5"/>
  <c r="AQ38" i="5" s="1"/>
  <c r="AQ39" i="5" s="1"/>
  <c r="BG37" i="5"/>
  <c r="AS29" i="6" s="1"/>
  <c r="BW37" i="5"/>
  <c r="BW38" i="5" s="1"/>
  <c r="AM32" i="5"/>
  <c r="BN32" i="5"/>
  <c r="Z37" i="5"/>
  <c r="AU37" i="5"/>
  <c r="AU38" i="5" s="1"/>
  <c r="AU39" i="5" s="1"/>
  <c r="BK37" i="5"/>
  <c r="CA37" i="5"/>
  <c r="BN29" i="6" s="1"/>
  <c r="AF37" i="5"/>
  <c r="AF38" i="5" s="1"/>
  <c r="AF39" i="5" s="1"/>
  <c r="AV37" i="5"/>
  <c r="AV38" i="5" s="1"/>
  <c r="AV39" i="5" s="1"/>
  <c r="BL37" i="5"/>
  <c r="CD37" i="5"/>
  <c r="AG37" i="5"/>
  <c r="AW37" i="5"/>
  <c r="BM37" i="5"/>
  <c r="BM38" i="5" s="1"/>
  <c r="AD25" i="5"/>
  <c r="AD26" i="5" s="1"/>
  <c r="AD27" i="5" s="1"/>
  <c r="AO25" i="5"/>
  <c r="AO26" i="5" s="1"/>
  <c r="BB25" i="5"/>
  <c r="BB26" i="5" s="1"/>
  <c r="BB27" i="5" s="1"/>
  <c r="BN25" i="5"/>
  <c r="BN26" i="5" s="1"/>
  <c r="BN27" i="5" s="1"/>
  <c r="BZ25" i="5"/>
  <c r="AD19" i="5"/>
  <c r="AQ19" i="5"/>
  <c r="AQ20" i="5" s="1"/>
  <c r="AQ21" i="5" s="1"/>
  <c r="BB19" i="5"/>
  <c r="BO19" i="5"/>
  <c r="BO20" i="5" s="1"/>
  <c r="BO21" i="5" s="1"/>
  <c r="AE25" i="5"/>
  <c r="Q25" i="6" s="1"/>
  <c r="AQ25" i="5"/>
  <c r="AD25" i="6" s="1"/>
  <c r="BD25" i="5"/>
  <c r="BO25" i="5"/>
  <c r="X31" i="5"/>
  <c r="AG31" i="5"/>
  <c r="AG32" i="5" s="1"/>
  <c r="AG33" i="5" s="1"/>
  <c r="AP31" i="5"/>
  <c r="AP32" i="5" s="1"/>
  <c r="AP33" i="5" s="1"/>
  <c r="AZ31" i="5"/>
  <c r="AZ32" i="5" s="1"/>
  <c r="BI31" i="5"/>
  <c r="BI32" i="5" s="1"/>
  <c r="BI33" i="5" s="1"/>
  <c r="BR31" i="5"/>
  <c r="BE27" i="6" s="1"/>
  <c r="CA31" i="5"/>
  <c r="AH37" i="5"/>
  <c r="AX37" i="5"/>
  <c r="BS37" i="5"/>
  <c r="BR20" i="5"/>
  <c r="BR21" i="5" s="1"/>
  <c r="AM4" i="5"/>
  <c r="A20" i="6"/>
  <c r="A36" i="6"/>
  <c r="BO25" i="6"/>
  <c r="A18" i="6"/>
  <c r="A34" i="6"/>
  <c r="AD4" i="5"/>
  <c r="AN4" i="5"/>
  <c r="AY4" i="5"/>
  <c r="BJ4" i="5"/>
  <c r="BT4" i="5"/>
  <c r="X7" i="5"/>
  <c r="AI7" i="5"/>
  <c r="AT7" i="5"/>
  <c r="BD7" i="5"/>
  <c r="BO7" i="5"/>
  <c r="BZ7" i="5"/>
  <c r="B36" i="6"/>
  <c r="B20" i="6"/>
  <c r="BN11" i="5"/>
  <c r="BN12" i="5" s="1"/>
  <c r="X11" i="5"/>
  <c r="X12" i="5" s="1"/>
  <c r="AC13" i="5"/>
  <c r="AQ13" i="5"/>
  <c r="BD13" i="5"/>
  <c r="AW20" i="5"/>
  <c r="AW21" i="5" s="1"/>
  <c r="BZ29" i="5"/>
  <c r="AA14" i="5"/>
  <c r="AA15" i="5" s="1"/>
  <c r="BS4" i="5"/>
  <c r="AE4" i="5"/>
  <c r="AO4" i="5"/>
  <c r="AZ4" i="5"/>
  <c r="BK4" i="5"/>
  <c r="Z7" i="5"/>
  <c r="AK7" i="5"/>
  <c r="AU7" i="5"/>
  <c r="BF7" i="5"/>
  <c r="BQ7" i="5"/>
  <c r="CA7" i="5"/>
  <c r="C20" i="6"/>
  <c r="C36" i="6"/>
  <c r="E20" i="6"/>
  <c r="V11" i="5"/>
  <c r="V12" i="5" s="1"/>
  <c r="BL11" i="5"/>
  <c r="BL12" i="5" s="1"/>
  <c r="CC13" i="5"/>
  <c r="BU13" i="5"/>
  <c r="BM13" i="5"/>
  <c r="BX13" i="5"/>
  <c r="BK21" i="6" s="1"/>
  <c r="BP13" i="5"/>
  <c r="BV13" i="5"/>
  <c r="BK13" i="5"/>
  <c r="BC13" i="5"/>
  <c r="AU13" i="5"/>
  <c r="AM13" i="5"/>
  <c r="AE13" i="5"/>
  <c r="W13" i="5"/>
  <c r="BT13" i="5"/>
  <c r="BJ13" i="5"/>
  <c r="BB13" i="5"/>
  <c r="AT13" i="5"/>
  <c r="AD13" i="5"/>
  <c r="V13" i="5"/>
  <c r="AL13" i="5"/>
  <c r="BZ13" i="5"/>
  <c r="BO13" i="5"/>
  <c r="BF13" i="5"/>
  <c r="AX13" i="5"/>
  <c r="AP13" i="5"/>
  <c r="AH13" i="5"/>
  <c r="Z13" i="5"/>
  <c r="AF13" i="5"/>
  <c r="AR13" i="5"/>
  <c r="BE13" i="5"/>
  <c r="BS13" i="5"/>
  <c r="BC17" i="5"/>
  <c r="BC18" i="5" s="1"/>
  <c r="C41" i="6"/>
  <c r="C25" i="6"/>
  <c r="E25" i="6"/>
  <c r="D25" i="5"/>
  <c r="S27" i="6"/>
  <c r="BD27" i="6"/>
  <c r="BR32" i="5"/>
  <c r="BR33" i="5" s="1"/>
  <c r="CA32" i="5"/>
  <c r="CA33" i="5" s="1"/>
  <c r="CD4" i="5"/>
  <c r="BV4" i="5"/>
  <c r="BN4" i="5"/>
  <c r="BF4" i="5"/>
  <c r="AX4" i="5"/>
  <c r="AP4" i="5"/>
  <c r="AH4" i="5"/>
  <c r="Z4" i="5"/>
  <c r="M18" i="6" s="1"/>
  <c r="BY4" i="5"/>
  <c r="BQ4" i="5"/>
  <c r="BI4" i="5"/>
  <c r="BA4" i="5"/>
  <c r="AS4" i="5"/>
  <c r="AK4" i="5"/>
  <c r="AC4" i="5"/>
  <c r="CC4" i="5"/>
  <c r="AV20" i="5"/>
  <c r="AV21" i="5" s="1"/>
  <c r="BB4" i="5"/>
  <c r="AB11" i="5"/>
  <c r="AB12" i="5" s="1"/>
  <c r="AS21" i="6"/>
  <c r="CB17" i="5"/>
  <c r="CB18" i="5" s="1"/>
  <c r="CD17" i="5"/>
  <c r="CD18" i="5" s="1"/>
  <c r="AB20" i="5"/>
  <c r="AB21" i="5" s="1"/>
  <c r="AV23" i="5"/>
  <c r="AV24" i="5" s="1"/>
  <c r="Y32" i="5"/>
  <c r="Y33" i="5" s="1"/>
  <c r="AH32" i="5"/>
  <c r="AH33" i="5" s="1"/>
  <c r="C19" i="6"/>
  <c r="C35" i="6"/>
  <c r="E19" i="6"/>
  <c r="BH4" i="5"/>
  <c r="W9" i="5"/>
  <c r="BH20" i="6"/>
  <c r="BV11" i="5"/>
  <c r="BV12" i="5" s="1"/>
  <c r="BU11" i="5"/>
  <c r="BU12" i="5" s="1"/>
  <c r="AO15" i="5"/>
  <c r="AF26" i="5"/>
  <c r="AF27" i="5" s="1"/>
  <c r="C18" i="6"/>
  <c r="C34" i="6"/>
  <c r="E18" i="6"/>
  <c r="V4" i="5"/>
  <c r="BL4" i="5"/>
  <c r="W4" i="5"/>
  <c r="AR4" i="5"/>
  <c r="BM4" i="5"/>
  <c r="AC7" i="5"/>
  <c r="AM7" i="5"/>
  <c r="AX7" i="5"/>
  <c r="BS7" i="5"/>
  <c r="CD7" i="5"/>
  <c r="AP11" i="5"/>
  <c r="AP12" i="5" s="1"/>
  <c r="AO11" i="5"/>
  <c r="AO12" i="5" s="1"/>
  <c r="A21" i="6"/>
  <c r="A37" i="6"/>
  <c r="AT21" i="6"/>
  <c r="BH14" i="5"/>
  <c r="BH15" i="5" s="1"/>
  <c r="A22" i="6"/>
  <c r="A38" i="6"/>
  <c r="P22" i="6"/>
  <c r="AD17" i="5"/>
  <c r="AD18" i="5" s="1"/>
  <c r="AO17" i="5"/>
  <c r="AO18" i="5" s="1"/>
  <c r="BJ17" i="5"/>
  <c r="BJ18" i="5" s="1"/>
  <c r="BU17" i="5"/>
  <c r="BU18" i="5" s="1"/>
  <c r="AX24" i="5"/>
  <c r="AR26" i="5"/>
  <c r="AR27" i="5" s="1"/>
  <c r="AW4" i="5"/>
  <c r="W11" i="5"/>
  <c r="W12" i="5" s="1"/>
  <c r="AF4" i="5"/>
  <c r="BW4" i="5"/>
  <c r="D4" i="5"/>
  <c r="AG4" i="5"/>
  <c r="BC4" i="5"/>
  <c r="BX4" i="5"/>
  <c r="X4" i="5"/>
  <c r="AE11" i="5"/>
  <c r="AE12" i="5" s="1"/>
  <c r="B37" i="6"/>
  <c r="B21" i="6"/>
  <c r="X13" i="5"/>
  <c r="AJ13" i="5"/>
  <c r="AW13" i="5"/>
  <c r="BI13" i="5"/>
  <c r="CA13" i="5"/>
  <c r="AI14" i="5"/>
  <c r="AI15" i="5" s="1"/>
  <c r="BQ14" i="5"/>
  <c r="BQ15" i="5" s="1"/>
  <c r="BX28" i="5"/>
  <c r="BP28" i="5"/>
  <c r="BH28" i="5"/>
  <c r="AZ28" i="5"/>
  <c r="AR28" i="5"/>
  <c r="AJ28" i="5"/>
  <c r="AB28" i="5"/>
  <c r="BW28" i="5"/>
  <c r="BN28" i="5"/>
  <c r="BE28" i="5"/>
  <c r="AV28" i="5"/>
  <c r="AM28" i="5"/>
  <c r="AD28" i="5"/>
  <c r="CA28" i="5"/>
  <c r="BR28" i="5"/>
  <c r="BI28" i="5"/>
  <c r="AY28" i="5"/>
  <c r="AP28" i="5"/>
  <c r="AG28" i="5"/>
  <c r="X28" i="5"/>
  <c r="BV28" i="5"/>
  <c r="BK28" i="5"/>
  <c r="AX28" i="5"/>
  <c r="AL28" i="5"/>
  <c r="Z28" i="5"/>
  <c r="BU28" i="5"/>
  <c r="BJ28" i="5"/>
  <c r="AW28" i="5"/>
  <c r="AK28" i="5"/>
  <c r="Y28" i="5"/>
  <c r="BT28" i="5"/>
  <c r="BG28" i="5"/>
  <c r="AU28" i="5"/>
  <c r="AI28" i="5"/>
  <c r="W28" i="5"/>
  <c r="CD28" i="5"/>
  <c r="BS28" i="5"/>
  <c r="BF28" i="5"/>
  <c r="AT28" i="5"/>
  <c r="AH28" i="5"/>
  <c r="V28" i="5"/>
  <c r="D42" i="6" s="1"/>
  <c r="CC28" i="5"/>
  <c r="BQ28" i="5"/>
  <c r="BD28" i="5"/>
  <c r="AS28" i="5"/>
  <c r="AF28" i="5"/>
  <c r="CB28" i="5"/>
  <c r="BO28" i="5"/>
  <c r="BC28" i="5"/>
  <c r="AQ28" i="5"/>
  <c r="AE28" i="5"/>
  <c r="BB28" i="5"/>
  <c r="BZ30" i="5"/>
  <c r="AB4" i="5"/>
  <c r="Y17" i="5"/>
  <c r="Y18" i="5" s="1"/>
  <c r="AQ4" i="5"/>
  <c r="CC7" i="5"/>
  <c r="BU7" i="5"/>
  <c r="BM7" i="5"/>
  <c r="BE7" i="5"/>
  <c r="AW7" i="5"/>
  <c r="AO7" i="5"/>
  <c r="AG7" i="5"/>
  <c r="Y7" i="5"/>
  <c r="BX7" i="5"/>
  <c r="BP7" i="5"/>
  <c r="BH7" i="5"/>
  <c r="AZ7" i="5"/>
  <c r="AR7" i="5"/>
  <c r="AJ7" i="5"/>
  <c r="AB7" i="5"/>
  <c r="BI7" i="5"/>
  <c r="S20" i="6"/>
  <c r="AG12" i="5"/>
  <c r="AI4" i="5"/>
  <c r="AT4" i="5"/>
  <c r="BD4" i="5"/>
  <c r="BO4" i="5"/>
  <c r="BZ4" i="5"/>
  <c r="AA5" i="5"/>
  <c r="AA6" i="5" s="1"/>
  <c r="AL5" i="5"/>
  <c r="AL6" i="5" s="1"/>
  <c r="BR5" i="5"/>
  <c r="BR6" i="5" s="1"/>
  <c r="AD7" i="5"/>
  <c r="AN7" i="5"/>
  <c r="AY7" i="5"/>
  <c r="BJ7" i="5"/>
  <c r="AV20" i="6"/>
  <c r="BJ11" i="5"/>
  <c r="BJ12" i="5" s="1"/>
  <c r="BQ11" i="5"/>
  <c r="BQ12" i="5" s="1"/>
  <c r="Y4" i="5"/>
  <c r="AJ4" i="5"/>
  <c r="AU4" i="5"/>
  <c r="BE4" i="5"/>
  <c r="BP4" i="5"/>
  <c r="CA4" i="5"/>
  <c r="B35" i="6"/>
  <c r="B19" i="6"/>
  <c r="AE7" i="5"/>
  <c r="R19" i="6" s="1"/>
  <c r="AP7" i="5"/>
  <c r="BA7" i="5"/>
  <c r="BK7" i="5"/>
  <c r="BV7" i="5"/>
  <c r="BN8" i="5"/>
  <c r="BN9" i="5" s="1"/>
  <c r="AA9" i="5"/>
  <c r="AE20" i="6"/>
  <c r="AF11" i="5"/>
  <c r="AF12" i="5" s="1"/>
  <c r="BE11" i="5"/>
  <c r="BE12" i="5" s="1"/>
  <c r="Y13" i="5"/>
  <c r="AK13" i="5"/>
  <c r="AY13" i="5"/>
  <c r="BL13" i="5"/>
  <c r="CB13" i="5"/>
  <c r="BA14" i="5"/>
  <c r="BA15" i="5" s="1"/>
  <c r="BQ20" i="5"/>
  <c r="BQ21" i="5" s="1"/>
  <c r="BH24" i="5"/>
  <c r="BE26" i="5"/>
  <c r="BE27" i="5" s="1"/>
  <c r="BL28" i="5"/>
  <c r="AY26" i="6" s="1"/>
  <c r="B34" i="6"/>
  <c r="B18" i="6"/>
  <c r="A19" i="6"/>
  <c r="A35" i="6"/>
  <c r="AA10" i="5"/>
  <c r="AI10" i="5"/>
  <c r="AQ10" i="5"/>
  <c r="AY10" i="5"/>
  <c r="BG10" i="5"/>
  <c r="BO10" i="5"/>
  <c r="B38" i="6"/>
  <c r="B22" i="6"/>
  <c r="Q22" i="6"/>
  <c r="AB22" i="6"/>
  <c r="BQ18" i="5"/>
  <c r="CA19" i="5"/>
  <c r="BS19" i="5"/>
  <c r="BK19" i="5"/>
  <c r="BC19" i="5"/>
  <c r="AU19" i="5"/>
  <c r="AM19" i="5"/>
  <c r="AE19" i="5"/>
  <c r="W19" i="5"/>
  <c r="J23" i="6" s="1"/>
  <c r="CD19" i="5"/>
  <c r="BV19" i="5"/>
  <c r="BN19" i="5"/>
  <c r="BF19" i="5"/>
  <c r="AX19" i="5"/>
  <c r="AP19" i="5"/>
  <c r="AC23" i="6" s="1"/>
  <c r="AH19" i="5"/>
  <c r="Z19" i="5"/>
  <c r="AC19" i="5"/>
  <c r="AN19" i="5"/>
  <c r="AY19" i="5"/>
  <c r="BI19" i="5"/>
  <c r="BT19" i="5"/>
  <c r="Z22" i="5"/>
  <c r="AM22" i="5"/>
  <c r="AY22" i="5"/>
  <c r="BK22" i="5"/>
  <c r="BW22" i="5"/>
  <c r="AI26" i="5"/>
  <c r="AI27" i="5" s="1"/>
  <c r="AN27" i="6"/>
  <c r="AW27" i="6"/>
  <c r="BF27" i="6"/>
  <c r="BO27" i="6"/>
  <c r="CC33" i="5"/>
  <c r="BA32" i="5"/>
  <c r="BA33" i="5" s="1"/>
  <c r="BO28" i="6"/>
  <c r="CC35" i="5"/>
  <c r="CC36" i="5" s="1"/>
  <c r="C22" i="6"/>
  <c r="C38" i="6"/>
  <c r="E22" i="6"/>
  <c r="H22" i="6"/>
  <c r="V17" i="5"/>
  <c r="V18" i="5" s="1"/>
  <c r="BB17" i="5"/>
  <c r="BB18" i="5" s="1"/>
  <c r="BM18" i="5"/>
  <c r="AG20" i="5"/>
  <c r="AG21" i="5" s="1"/>
  <c r="BP20" i="5"/>
  <c r="BP21" i="5" s="1"/>
  <c r="AB22" i="5"/>
  <c r="AO22" i="5"/>
  <c r="AZ22" i="5"/>
  <c r="BM22" i="5"/>
  <c r="Y26" i="5"/>
  <c r="Y27" i="5" s="1"/>
  <c r="BL33" i="5"/>
  <c r="CD32" i="5"/>
  <c r="CD33" i="5" s="1"/>
  <c r="AC35" i="5"/>
  <c r="AC36" i="5" s="1"/>
  <c r="AO35" i="5"/>
  <c r="AO36" i="5" s="1"/>
  <c r="I22" i="6"/>
  <c r="AO22" i="6"/>
  <c r="AZ22" i="6"/>
  <c r="A39" i="6"/>
  <c r="A23" i="6"/>
  <c r="BE20" i="5"/>
  <c r="BZ22" i="5"/>
  <c r="BR22" i="5"/>
  <c r="BJ22" i="5"/>
  <c r="BB22" i="5"/>
  <c r="AT22" i="5"/>
  <c r="AL22" i="5"/>
  <c r="AD22" i="5"/>
  <c r="V22" i="5"/>
  <c r="CD22" i="5"/>
  <c r="BU22" i="5"/>
  <c r="BL22" i="5"/>
  <c r="BC22" i="5"/>
  <c r="AS22" i="5"/>
  <c r="AJ22" i="5"/>
  <c r="AA22" i="5"/>
  <c r="BX22" i="5"/>
  <c r="BO22" i="5"/>
  <c r="BF22" i="5"/>
  <c r="AW22" i="5"/>
  <c r="AN22" i="5"/>
  <c r="AE22" i="5"/>
  <c r="AC22" i="5"/>
  <c r="AP22" i="5"/>
  <c r="BA22" i="5"/>
  <c r="BN22" i="5"/>
  <c r="CA22" i="5"/>
  <c r="AJ25" i="6"/>
  <c r="AW25" i="6"/>
  <c r="BJ26" i="5"/>
  <c r="BJ27" i="5" s="1"/>
  <c r="BW26" i="5"/>
  <c r="BW27" i="5" s="1"/>
  <c r="C42" i="6"/>
  <c r="C26" i="6"/>
  <c r="E26" i="6"/>
  <c r="A43" i="6"/>
  <c r="A27" i="6"/>
  <c r="X27" i="6"/>
  <c r="AL32" i="5"/>
  <c r="AL33" i="5" s="1"/>
  <c r="AG27" i="6"/>
  <c r="AU33" i="5"/>
  <c r="AY27" i="6"/>
  <c r="BV32" i="5"/>
  <c r="BV33" i="5" s="1"/>
  <c r="BT32" i="5"/>
  <c r="BT33" i="5" s="1"/>
  <c r="P28" i="6"/>
  <c r="AZ35" i="5"/>
  <c r="AZ36" i="5" s="1"/>
  <c r="AF22" i="6"/>
  <c r="BZ17" i="5"/>
  <c r="BZ18" i="5" s="1"/>
  <c r="AW17" i="5"/>
  <c r="AW18" i="5" s="1"/>
  <c r="B39" i="6"/>
  <c r="B23" i="6"/>
  <c r="S23" i="6"/>
  <c r="A40" i="6"/>
  <c r="A24" i="6"/>
  <c r="AC24" i="6"/>
  <c r="AQ23" i="5"/>
  <c r="AQ24" i="5" s="1"/>
  <c r="BP23" i="5"/>
  <c r="BP24" i="5" s="1"/>
  <c r="BJ25" i="6"/>
  <c r="BX26" i="5"/>
  <c r="BX27" i="5" s="1"/>
  <c r="AB26" i="5"/>
  <c r="AB27" i="5" s="1"/>
  <c r="BM26" i="5"/>
  <c r="BM27" i="5" s="1"/>
  <c r="B43" i="6"/>
  <c r="B27" i="6"/>
  <c r="Y27" i="6"/>
  <c r="AM33" i="5"/>
  <c r="AH27" i="6"/>
  <c r="AQ27" i="6"/>
  <c r="BE32" i="5"/>
  <c r="BE33" i="5" s="1"/>
  <c r="BD32" i="5"/>
  <c r="BD33" i="5" s="1"/>
  <c r="AF35" i="5"/>
  <c r="AF36" i="5" s="1"/>
  <c r="AQ35" i="5"/>
  <c r="AQ36" i="5" s="1"/>
  <c r="BP35" i="5"/>
  <c r="AW20" i="6"/>
  <c r="C39" i="6"/>
  <c r="C23" i="6"/>
  <c r="E23" i="6"/>
  <c r="D19" i="5"/>
  <c r="AS20" i="5"/>
  <c r="AS21" i="5" s="1"/>
  <c r="X21" i="5"/>
  <c r="AG22" i="5"/>
  <c r="AR22" i="5"/>
  <c r="BE22" i="5"/>
  <c r="BQ22" i="5"/>
  <c r="CC22" i="5"/>
  <c r="AF23" i="5"/>
  <c r="AF24" i="5" s="1"/>
  <c r="BZ26" i="5"/>
  <c r="BZ27" i="5" s="1"/>
  <c r="AR32" i="5"/>
  <c r="AR33" i="5" s="1"/>
  <c r="BX32" i="5"/>
  <c r="BX33" i="5" s="1"/>
  <c r="AV33" i="5"/>
  <c r="AD35" i="5"/>
  <c r="AD36" i="5" s="1"/>
  <c r="AO20" i="6"/>
  <c r="C21" i="6"/>
  <c r="C37" i="6"/>
  <c r="E21" i="6"/>
  <c r="N21" i="6" s="1"/>
  <c r="BC22" i="6"/>
  <c r="J20" i="6"/>
  <c r="BN20" i="6"/>
  <c r="D13" i="5"/>
  <c r="BR17" i="5"/>
  <c r="BR18" i="5" s="1"/>
  <c r="BO22" i="6"/>
  <c r="CC18" i="5"/>
  <c r="AR18" i="5"/>
  <c r="BX18" i="5"/>
  <c r="K23" i="6"/>
  <c r="AF23" i="6"/>
  <c r="BZ20" i="5"/>
  <c r="BZ21" i="5" s="1"/>
  <c r="BJ20" i="5"/>
  <c r="BJ21" i="5" s="1"/>
  <c r="BW20" i="5"/>
  <c r="BW21" i="5" s="1"/>
  <c r="W22" i="5"/>
  <c r="AH22" i="5"/>
  <c r="AU22" i="5"/>
  <c r="AH24" i="6" s="1"/>
  <c r="BG22" i="5"/>
  <c r="BS22" i="5"/>
  <c r="A41" i="6"/>
  <c r="A25" i="6"/>
  <c r="BD26" i="5"/>
  <c r="BD27" i="5" s="1"/>
  <c r="CB26" i="5"/>
  <c r="CB27" i="5" s="1"/>
  <c r="AE26" i="5"/>
  <c r="AE27" i="5" s="1"/>
  <c r="AQ26" i="5"/>
  <c r="AQ27" i="5" s="1"/>
  <c r="W32" i="5"/>
  <c r="W33" i="5" s="1"/>
  <c r="AF32" i="5"/>
  <c r="AF33" i="5" s="1"/>
  <c r="AA27" i="6"/>
  <c r="AJ27" i="6"/>
  <c r="AX32" i="5"/>
  <c r="AX33" i="5" s="1"/>
  <c r="BQ32" i="5"/>
  <c r="BQ33" i="5" s="1"/>
  <c r="AC32" i="5"/>
  <c r="AC33" i="5" s="1"/>
  <c r="AS32" i="5"/>
  <c r="AS33" i="5" s="1"/>
  <c r="BJ32" i="5"/>
  <c r="BJ33" i="5" s="1"/>
  <c r="B44" i="6"/>
  <c r="B28" i="6"/>
  <c r="BG28" i="6"/>
  <c r="BU35" i="5"/>
  <c r="BU36" i="5" s="1"/>
  <c r="W38" i="5"/>
  <c r="W39" i="5" s="1"/>
  <c r="AM38" i="5"/>
  <c r="AM39" i="5" s="1"/>
  <c r="BE38" i="5"/>
  <c r="BE39" i="5" s="1"/>
  <c r="BG29" i="6"/>
  <c r="C44" i="6"/>
  <c r="C28" i="6"/>
  <c r="E28" i="6"/>
  <c r="D34" i="5"/>
  <c r="J29" i="6"/>
  <c r="X38" i="5"/>
  <c r="X39" i="5" s="1"/>
  <c r="AA16" i="5"/>
  <c r="N22" i="6" s="1"/>
  <c r="AI16" i="5"/>
  <c r="AQ16" i="5"/>
  <c r="AY16" i="5"/>
  <c r="BG16" i="5"/>
  <c r="BO16" i="5"/>
  <c r="BB22" i="6" s="1"/>
  <c r="BW16" i="5"/>
  <c r="B40" i="6"/>
  <c r="B24" i="6"/>
  <c r="BY25" i="5"/>
  <c r="BQ25" i="5"/>
  <c r="BI25" i="5"/>
  <c r="BA25" i="5"/>
  <c r="AS25" i="5"/>
  <c r="AK25" i="5"/>
  <c r="AC25" i="5"/>
  <c r="AA25" i="5"/>
  <c r="AJ25" i="5"/>
  <c r="AT25" i="5"/>
  <c r="BC25" i="5"/>
  <c r="BL25" i="5"/>
  <c r="BU25" i="5"/>
  <c r="CD25" i="5"/>
  <c r="C43" i="6"/>
  <c r="C27" i="6"/>
  <c r="E27" i="6"/>
  <c r="V32" i="5"/>
  <c r="V33" i="5" s="1"/>
  <c r="AE32" i="5"/>
  <c r="AE33" i="5" s="1"/>
  <c r="Z27" i="6"/>
  <c r="AN32" i="5"/>
  <c r="AN33" i="5" s="1"/>
  <c r="AI27" i="6"/>
  <c r="AW32" i="5"/>
  <c r="AW33" i="5" s="1"/>
  <c r="AR27" i="6"/>
  <c r="BF32" i="5"/>
  <c r="BF33" i="5" s="1"/>
  <c r="BP32" i="5"/>
  <c r="BP33" i="5" s="1"/>
  <c r="BK27" i="6"/>
  <c r="BY32" i="5"/>
  <c r="BY33" i="5" s="1"/>
  <c r="K28" i="6"/>
  <c r="Y35" i="5"/>
  <c r="Y36" i="5" s="1"/>
  <c r="AX35" i="5"/>
  <c r="AX36" i="5" s="1"/>
  <c r="CB35" i="5"/>
  <c r="CB36" i="5" s="1"/>
  <c r="AI35" i="5"/>
  <c r="AI36" i="5" s="1"/>
  <c r="K29" i="6"/>
  <c r="BI29" i="6"/>
  <c r="BK38" i="5"/>
  <c r="BK39" i="5" s="1"/>
  <c r="CA38" i="5"/>
  <c r="CA39" i="5" s="1"/>
  <c r="AH29" i="6"/>
  <c r="BL38" i="5"/>
  <c r="BL39" i="5" s="1"/>
  <c r="CB38" i="5"/>
  <c r="CB39" i="5" s="1"/>
  <c r="AW38" i="5"/>
  <c r="AW39" i="5" s="1"/>
  <c r="T29" i="6"/>
  <c r="AH38" i="5"/>
  <c r="AH39" i="5" s="1"/>
  <c r="AJ29" i="6"/>
  <c r="BS38" i="5"/>
  <c r="BS39" i="5" s="1"/>
  <c r="X16" i="5"/>
  <c r="AF16" i="5"/>
  <c r="AN16" i="5"/>
  <c r="AV16" i="5"/>
  <c r="BD16" i="5"/>
  <c r="AQ22" i="6" s="1"/>
  <c r="BL16" i="5"/>
  <c r="BT16" i="5"/>
  <c r="X25" i="5"/>
  <c r="AG25" i="5"/>
  <c r="AP25" i="5"/>
  <c r="AY25" i="5"/>
  <c r="BH25" i="5"/>
  <c r="BR25" i="5"/>
  <c r="CA25" i="5"/>
  <c r="BN25" i="6" s="1"/>
  <c r="B42" i="6"/>
  <c r="B26" i="6"/>
  <c r="BI27" i="6"/>
  <c r="BW32" i="5"/>
  <c r="BW33" i="5" s="1"/>
  <c r="W27" i="6"/>
  <c r="AT32" i="5"/>
  <c r="AT33" i="5" s="1"/>
  <c r="A44" i="6"/>
  <c r="A28" i="6"/>
  <c r="S28" i="6"/>
  <c r="AG35" i="5"/>
  <c r="AG36" i="5" s="1"/>
  <c r="AR36" i="5"/>
  <c r="BF35" i="5"/>
  <c r="BF36" i="5" s="1"/>
  <c r="BT35" i="5"/>
  <c r="BT36" i="5" s="1"/>
  <c r="BI35" i="5"/>
  <c r="BI36" i="5" s="1"/>
  <c r="U29" i="6"/>
  <c r="AI39" i="5"/>
  <c r="AY39" i="5"/>
  <c r="BT38" i="5"/>
  <c r="BT39" i="5" s="1"/>
  <c r="C40" i="6"/>
  <c r="C24" i="6"/>
  <c r="E24" i="6"/>
  <c r="B41" i="6"/>
  <c r="B25" i="6"/>
  <c r="A42" i="6"/>
  <c r="A26" i="6"/>
  <c r="AA31" i="5"/>
  <c r="AI31" i="5"/>
  <c r="V27" i="6" s="1"/>
  <c r="AQ31" i="5"/>
  <c r="AY31" i="5"/>
  <c r="BG31" i="5"/>
  <c r="AT27" i="6" s="1"/>
  <c r="BO31" i="5"/>
  <c r="BB27" i="6" s="1"/>
  <c r="AA34" i="5"/>
  <c r="AJ34" i="5"/>
  <c r="AS34" i="5"/>
  <c r="BB34" i="5"/>
  <c r="BL34" i="5"/>
  <c r="AA37" i="5"/>
  <c r="AO37" i="5"/>
  <c r="BC37" i="5"/>
  <c r="BN37" i="5"/>
  <c r="BJ27" i="6"/>
  <c r="BH32" i="5"/>
  <c r="BH33" i="5" s="1"/>
  <c r="CA34" i="5"/>
  <c r="BS34" i="5"/>
  <c r="BK34" i="5"/>
  <c r="BC34" i="5"/>
  <c r="AU34" i="5"/>
  <c r="AH28" i="6" s="1"/>
  <c r="AM34" i="5"/>
  <c r="AE34" i="5"/>
  <c r="W34" i="5"/>
  <c r="BZ34" i="5"/>
  <c r="BR34" i="5"/>
  <c r="BY34" i="5"/>
  <c r="BQ34" i="5"/>
  <c r="AB34" i="5"/>
  <c r="AK34" i="5"/>
  <c r="AT34" i="5"/>
  <c r="BD34" i="5"/>
  <c r="BM34" i="5"/>
  <c r="BX34" i="5"/>
  <c r="BZ37" i="5"/>
  <c r="BR37" i="5"/>
  <c r="BJ37" i="5"/>
  <c r="BB37" i="5"/>
  <c r="AT37" i="5"/>
  <c r="AL37" i="5"/>
  <c r="AD37" i="5"/>
  <c r="V37" i="5"/>
  <c r="BY37" i="5"/>
  <c r="BQ37" i="5"/>
  <c r="BI37" i="5"/>
  <c r="BA37" i="5"/>
  <c r="AS37" i="5"/>
  <c r="AK37" i="5"/>
  <c r="AC37" i="5"/>
  <c r="BX37" i="5"/>
  <c r="BP37" i="5"/>
  <c r="BH37" i="5"/>
  <c r="AZ37" i="5"/>
  <c r="AR37" i="5"/>
  <c r="AJ37" i="5"/>
  <c r="AB37" i="5"/>
  <c r="AE37" i="5"/>
  <c r="AP37" i="5"/>
  <c r="BD37" i="5"/>
  <c r="BO37" i="5"/>
  <c r="CC37" i="5"/>
  <c r="D24" i="8"/>
  <c r="F24" i="8"/>
  <c r="D7" i="8"/>
  <c r="F7" i="8"/>
  <c r="A45" i="6"/>
  <c r="A29" i="6"/>
  <c r="B45" i="6"/>
  <c r="B29" i="6"/>
  <c r="C45" i="6"/>
  <c r="E29" i="6"/>
  <c r="AR29" i="6" s="1"/>
  <c r="C29" i="6"/>
  <c r="G25" i="1"/>
  <c r="O25" i="1"/>
  <c r="W25" i="1"/>
  <c r="AE25" i="1"/>
  <c r="AM25" i="1"/>
  <c r="BD25" i="1"/>
  <c r="G21" i="4"/>
  <c r="C18" i="1" s="1"/>
  <c r="AV25" i="1"/>
  <c r="C7" i="8"/>
  <c r="E7" i="8"/>
  <c r="G7" i="8"/>
  <c r="D25" i="1"/>
  <c r="L25" i="1"/>
  <c r="AJ25" i="1"/>
  <c r="AR25" i="1"/>
  <c r="AZ25" i="1"/>
  <c r="BH25" i="1"/>
  <c r="BC13" i="6"/>
  <c r="BK13" i="6"/>
  <c r="AU25" i="1"/>
  <c r="BC25" i="1"/>
  <c r="C24" i="8"/>
  <c r="E24" i="8"/>
  <c r="G24" i="8"/>
  <c r="C4" i="7"/>
  <c r="BD13" i="7"/>
  <c r="AV13" i="7"/>
  <c r="AN13" i="7"/>
  <c r="AF13" i="7"/>
  <c r="BI13" i="7"/>
  <c r="AZ13" i="7"/>
  <c r="AQ13" i="7"/>
  <c r="AH13" i="7"/>
  <c r="Y13" i="7"/>
  <c r="I13" i="7"/>
  <c r="BI8" i="7"/>
  <c r="BI46" i="1" s="1"/>
  <c r="BI47" i="1" s="1"/>
  <c r="BA8" i="7"/>
  <c r="BA46" i="1" s="1"/>
  <c r="BA47" i="1" s="1"/>
  <c r="AS8" i="7"/>
  <c r="AS46" i="1" s="1"/>
  <c r="AS47" i="1" s="1"/>
  <c r="AK8" i="7"/>
  <c r="AK46" i="1" s="1"/>
  <c r="AK47" i="1" s="1"/>
  <c r="AC8" i="7"/>
  <c r="AC46" i="1" s="1"/>
  <c r="AC47" i="1" s="1"/>
  <c r="U8" i="7"/>
  <c r="U46" i="1" s="1"/>
  <c r="U47" i="1" s="1"/>
  <c r="M8" i="7"/>
  <c r="M46" i="1" s="1"/>
  <c r="M47" i="1" s="1"/>
  <c r="E8" i="7"/>
  <c r="E46" i="1" s="1"/>
  <c r="E47" i="1" s="1"/>
  <c r="BG13" i="7"/>
  <c r="AX13" i="7"/>
  <c r="AO13" i="7"/>
  <c r="AE13" i="7"/>
  <c r="W13" i="7"/>
  <c r="O13" i="7"/>
  <c r="G13" i="7"/>
  <c r="BG8" i="7"/>
  <c r="BG46" i="1" s="1"/>
  <c r="BG47" i="1" s="1"/>
  <c r="AY8" i="7"/>
  <c r="AY46" i="1" s="1"/>
  <c r="AY47" i="1" s="1"/>
  <c r="AQ8" i="7"/>
  <c r="AQ46" i="1" s="1"/>
  <c r="AQ47" i="1" s="1"/>
  <c r="AI8" i="7"/>
  <c r="AI46" i="1" s="1"/>
  <c r="AI47" i="1" s="1"/>
  <c r="AA8" i="7"/>
  <c r="AA46" i="1" s="1"/>
  <c r="AA47" i="1" s="1"/>
  <c r="S8" i="7"/>
  <c r="S46" i="1" s="1"/>
  <c r="S47" i="1" s="1"/>
  <c r="K8" i="7"/>
  <c r="K46" i="1" s="1"/>
  <c r="K47" i="1" s="1"/>
  <c r="C8" i="7"/>
  <c r="C46" i="1" s="1"/>
  <c r="C47" i="1" s="1"/>
  <c r="BJ13" i="7"/>
  <c r="BA13" i="7"/>
  <c r="AR13" i="7"/>
  <c r="AI13" i="7"/>
  <c r="Z13" i="7"/>
  <c r="R13" i="7"/>
  <c r="J13" i="7"/>
  <c r="BB8" i="7"/>
  <c r="BB46" i="1" s="1"/>
  <c r="BB47" i="1" s="1"/>
  <c r="AT8" i="7"/>
  <c r="AT46" i="1" s="1"/>
  <c r="AT47" i="1" s="1"/>
  <c r="AL8" i="7"/>
  <c r="AL46" i="1" s="1"/>
  <c r="AL47" i="1" s="1"/>
  <c r="AD8" i="7"/>
  <c r="AD46" i="1" s="1"/>
  <c r="AD47" i="1" s="1"/>
  <c r="V8" i="7"/>
  <c r="V46" i="1" s="1"/>
  <c r="V47" i="1" s="1"/>
  <c r="F8" i="7"/>
  <c r="F46" i="1" s="1"/>
  <c r="F47" i="1" s="1"/>
  <c r="AU13" i="7"/>
  <c r="AG13" i="7"/>
  <c r="T13" i="7"/>
  <c r="F13" i="7"/>
  <c r="BE8" i="7"/>
  <c r="BE46" i="1" s="1"/>
  <c r="BE47" i="1" s="1"/>
  <c r="AR8" i="7"/>
  <c r="AR46" i="1" s="1"/>
  <c r="AR47" i="1" s="1"/>
  <c r="AF8" i="7"/>
  <c r="AF46" i="1" s="1"/>
  <c r="AF47" i="1" s="1"/>
  <c r="R8" i="7"/>
  <c r="R46" i="1" s="1"/>
  <c r="R47" i="1" s="1"/>
  <c r="G8" i="7"/>
  <c r="G46" i="1" s="1"/>
  <c r="G47" i="1" s="1"/>
  <c r="BH13" i="7"/>
  <c r="AT13" i="7"/>
  <c r="AD13" i="7"/>
  <c r="S13" i="7"/>
  <c r="E13" i="7"/>
  <c r="BD8" i="7"/>
  <c r="BD46" i="1" s="1"/>
  <c r="BD47" i="1" s="1"/>
  <c r="AP8" i="7"/>
  <c r="AP46" i="1" s="1"/>
  <c r="AP47" i="1" s="1"/>
  <c r="AE8" i="7"/>
  <c r="AE46" i="1" s="1"/>
  <c r="AE47" i="1" s="1"/>
  <c r="D8" i="7"/>
  <c r="D46" i="1" s="1"/>
  <c r="D47" i="1" s="1"/>
  <c r="BF13" i="7"/>
  <c r="AS13" i="7"/>
  <c r="AC13" i="7"/>
  <c r="P13" i="7"/>
  <c r="D13" i="7"/>
  <c r="BC8" i="7"/>
  <c r="BC46" i="1" s="1"/>
  <c r="BC47" i="1" s="1"/>
  <c r="AO8" i="7"/>
  <c r="AO46" i="1" s="1"/>
  <c r="AO47" i="1" s="1"/>
  <c r="AB8" i="7"/>
  <c r="AB46" i="1" s="1"/>
  <c r="AB47" i="1" s="1"/>
  <c r="P8" i="7"/>
  <c r="P46" i="1" s="1"/>
  <c r="P47" i="1" s="1"/>
  <c r="BC13" i="7"/>
  <c r="AM13" i="7"/>
  <c r="AA13" i="7"/>
  <c r="M13" i="7"/>
  <c r="BB13" i="7"/>
  <c r="AL13" i="7"/>
  <c r="X13" i="7"/>
  <c r="AY13" i="7"/>
  <c r="AK13" i="7"/>
  <c r="V13" i="7"/>
  <c r="K13" i="7"/>
  <c r="AW13" i="7"/>
  <c r="AJ13" i="7"/>
  <c r="U13" i="7"/>
  <c r="H13" i="7"/>
  <c r="BF8" i="7"/>
  <c r="BF46" i="1" s="1"/>
  <c r="BF47" i="1" s="1"/>
  <c r="AU8" i="7"/>
  <c r="AU46" i="1" s="1"/>
  <c r="AU47" i="1" s="1"/>
  <c r="AG8" i="7"/>
  <c r="AG46" i="1" s="1"/>
  <c r="AG47" i="1" s="1"/>
  <c r="T8" i="7"/>
  <c r="T46" i="1" s="1"/>
  <c r="T47" i="1" s="1"/>
  <c r="H8" i="7"/>
  <c r="H46" i="1" s="1"/>
  <c r="H47" i="1" s="1"/>
  <c r="BE13" i="7"/>
  <c r="AV8" i="7"/>
  <c r="AV46" i="1" s="1"/>
  <c r="AV47" i="1" s="1"/>
  <c r="W8" i="7"/>
  <c r="W46" i="1" s="1"/>
  <c r="W47" i="1" s="1"/>
  <c r="AP13" i="7"/>
  <c r="AN8" i="7"/>
  <c r="AN46" i="1" s="1"/>
  <c r="AN47" i="1" s="1"/>
  <c r="O8" i="7"/>
  <c r="O46" i="1" s="1"/>
  <c r="O47" i="1" s="1"/>
  <c r="AB13" i="7"/>
  <c r="AM8" i="7"/>
  <c r="AM46" i="1" s="1"/>
  <c r="AM47" i="1" s="1"/>
  <c r="L8" i="7"/>
  <c r="L46" i="1" s="1"/>
  <c r="L47" i="1" s="1"/>
  <c r="AJ8" i="7"/>
  <c r="AJ46" i="1" s="1"/>
  <c r="AJ47" i="1" s="1"/>
  <c r="J8" i="7"/>
  <c r="J46" i="1" s="1"/>
  <c r="J47" i="1" s="1"/>
  <c r="L13" i="7"/>
  <c r="BH8" i="7"/>
  <c r="BH46" i="1" s="1"/>
  <c r="BH47" i="1" s="1"/>
  <c r="AH8" i="7"/>
  <c r="AH46" i="1" s="1"/>
  <c r="AH47" i="1" s="1"/>
  <c r="I8" i="7"/>
  <c r="I46" i="1" s="1"/>
  <c r="I47" i="1" s="1"/>
  <c r="C13" i="7"/>
  <c r="AZ8" i="7"/>
  <c r="AZ46" i="1" s="1"/>
  <c r="AZ47" i="1" s="1"/>
  <c r="Z8" i="7"/>
  <c r="Z46" i="1" s="1"/>
  <c r="Z47" i="1" s="1"/>
  <c r="AX8" i="7"/>
  <c r="AX46" i="1" s="1"/>
  <c r="AX47" i="1" s="1"/>
  <c r="Y8" i="7"/>
  <c r="Y46" i="1" s="1"/>
  <c r="Y47" i="1" s="1"/>
  <c r="AW8" i="7"/>
  <c r="AW46" i="1" s="1"/>
  <c r="AW47" i="1" s="1"/>
  <c r="X8" i="7"/>
  <c r="X46" i="1" s="1"/>
  <c r="X47" i="1" s="1"/>
  <c r="AQ25" i="6" l="1"/>
  <c r="AB32" i="5"/>
  <c r="AB33" i="5" s="1"/>
  <c r="BN24" i="6"/>
  <c r="AS19" i="6"/>
  <c r="AY29" i="6"/>
  <c r="BC27" i="6"/>
  <c r="AD28" i="6"/>
  <c r="AJ28" i="6"/>
  <c r="BH29" i="6"/>
  <c r="C50" i="1"/>
  <c r="L10" i="2"/>
  <c r="AP35" i="1" s="1"/>
  <c r="I7" i="2"/>
  <c r="I10" i="2" s="1"/>
  <c r="I21" i="2" s="1"/>
  <c r="I22" i="2" s="1"/>
  <c r="Q27" i="6"/>
  <c r="BK18" i="5"/>
  <c r="BG27" i="5"/>
  <c r="D43" i="6"/>
  <c r="AP43" i="6" s="1"/>
  <c r="D39" i="6"/>
  <c r="V39" i="6" s="1"/>
  <c r="O22" i="6"/>
  <c r="AE27" i="6"/>
  <c r="AA26" i="6"/>
  <c r="AV22" i="6"/>
  <c r="BF28" i="6"/>
  <c r="BW39" i="5"/>
  <c r="T28" i="6"/>
  <c r="BA25" i="6"/>
  <c r="AR22" i="6"/>
  <c r="BE18" i="5"/>
  <c r="AN22" i="6"/>
  <c r="L27" i="6"/>
  <c r="AM22" i="6"/>
  <c r="BG9" i="5"/>
  <c r="AI28" i="6"/>
  <c r="AM28" i="6"/>
  <c r="AM27" i="6"/>
  <c r="BR11" i="5"/>
  <c r="BR12" i="5" s="1"/>
  <c r="W23" i="6"/>
  <c r="AM21" i="6"/>
  <c r="AD33" i="5"/>
  <c r="AW22" i="6"/>
  <c r="Z29" i="6"/>
  <c r="E35" i="6" a="1"/>
  <c r="E35" i="6" s="1"/>
  <c r="J35" i="6"/>
  <c r="R35" i="6"/>
  <c r="Z35" i="6"/>
  <c r="AH35" i="6"/>
  <c r="AP35" i="6"/>
  <c r="AX35" i="6"/>
  <c r="BF35" i="6"/>
  <c r="BN35" i="6"/>
  <c r="K35" i="6"/>
  <c r="S35" i="6"/>
  <c r="AA35" i="6"/>
  <c r="AI35" i="6"/>
  <c r="AQ35" i="6"/>
  <c r="AY35" i="6"/>
  <c r="BG35" i="6"/>
  <c r="BO35" i="6"/>
  <c r="O35" i="6"/>
  <c r="W35" i="6"/>
  <c r="AE35" i="6"/>
  <c r="AM35" i="6"/>
  <c r="AU35" i="6"/>
  <c r="BC35" i="6"/>
  <c r="BK35" i="6"/>
  <c r="U35" i="6"/>
  <c r="AG35" i="6"/>
  <c r="AT35" i="6"/>
  <c r="BH35" i="6"/>
  <c r="I35" i="6"/>
  <c r="V35" i="6"/>
  <c r="AJ35" i="6"/>
  <c r="AV35" i="6"/>
  <c r="BI35" i="6"/>
  <c r="L35" i="6"/>
  <c r="X35" i="6"/>
  <c r="AK35" i="6"/>
  <c r="AW35" i="6"/>
  <c r="BJ35" i="6"/>
  <c r="AC35" i="6"/>
  <c r="AZ35" i="6"/>
  <c r="M35" i="6"/>
  <c r="AD35" i="6"/>
  <c r="BA35" i="6"/>
  <c r="N35" i="6"/>
  <c r="AF35" i="6"/>
  <c r="BB35" i="6"/>
  <c r="Y35" i="6"/>
  <c r="AR35" i="6"/>
  <c r="BM35" i="6"/>
  <c r="AB35" i="6"/>
  <c r="AS35" i="6"/>
  <c r="AN35" i="6"/>
  <c r="H35" i="6"/>
  <c r="AO35" i="6"/>
  <c r="BD35" i="6"/>
  <c r="BE35" i="6"/>
  <c r="P35" i="6"/>
  <c r="BL35" i="6"/>
  <c r="Q35" i="6"/>
  <c r="AL35" i="6"/>
  <c r="T35" i="6"/>
  <c r="AH43" i="6"/>
  <c r="AA43" i="6"/>
  <c r="AE43" i="6"/>
  <c r="AM43" i="6"/>
  <c r="AV43" i="6"/>
  <c r="AS43" i="6"/>
  <c r="AO43" i="6"/>
  <c r="BB43" i="6"/>
  <c r="U43" i="6"/>
  <c r="AZ43" i="6"/>
  <c r="W39" i="6"/>
  <c r="AA39" i="6"/>
  <c r="AO39" i="6"/>
  <c r="AF39" i="6"/>
  <c r="BI39" i="6"/>
  <c r="Y39" i="6"/>
  <c r="AX39" i="6"/>
  <c r="AK12" i="5"/>
  <c r="AO27" i="5"/>
  <c r="H27" i="6"/>
  <c r="AP35" i="5"/>
  <c r="AP36" i="5" s="1"/>
  <c r="BI17" i="5"/>
  <c r="BI18" i="5" s="1"/>
  <c r="BA11" i="5"/>
  <c r="BA12" i="5" s="1"/>
  <c r="W20" i="6"/>
  <c r="Y22" i="6"/>
  <c r="AI25" i="6"/>
  <c r="AF46" i="5"/>
  <c r="AF47" i="5" s="1"/>
  <c r="BU32" i="5"/>
  <c r="BU33" i="5" s="1"/>
  <c r="P27" i="6"/>
  <c r="U42" i="6"/>
  <c r="AC42" i="6"/>
  <c r="AK42" i="6"/>
  <c r="AS42" i="6"/>
  <c r="BA42" i="6"/>
  <c r="BI42" i="6"/>
  <c r="N42" i="6"/>
  <c r="V42" i="6"/>
  <c r="AD42" i="6"/>
  <c r="AL42" i="6"/>
  <c r="AT42" i="6"/>
  <c r="BB42" i="6"/>
  <c r="BJ42" i="6"/>
  <c r="J42" i="6"/>
  <c r="R42" i="6"/>
  <c r="Z42" i="6"/>
  <c r="AH42" i="6"/>
  <c r="AP42" i="6"/>
  <c r="AX42" i="6"/>
  <c r="BF42" i="6"/>
  <c r="BN42" i="6"/>
  <c r="Q42" i="6"/>
  <c r="AE42" i="6"/>
  <c r="AQ42" i="6"/>
  <c r="BD42" i="6"/>
  <c r="H42" i="6"/>
  <c r="S42" i="6"/>
  <c r="AF42" i="6"/>
  <c r="AR42" i="6"/>
  <c r="BE42" i="6"/>
  <c r="T42" i="6"/>
  <c r="AJ42" i="6"/>
  <c r="AZ42" i="6"/>
  <c r="W42" i="6"/>
  <c r="AM42" i="6"/>
  <c r="BC42" i="6"/>
  <c r="O42" i="6"/>
  <c r="AG42" i="6"/>
  <c r="AW42" i="6"/>
  <c r="BM42" i="6"/>
  <c r="P42" i="6"/>
  <c r="AI42" i="6"/>
  <c r="AY42" i="6"/>
  <c r="BO42" i="6"/>
  <c r="I42" i="6"/>
  <c r="AO42" i="6"/>
  <c r="K42" i="6"/>
  <c r="AU42" i="6"/>
  <c r="L42" i="6"/>
  <c r="AV42" i="6"/>
  <c r="X42" i="6"/>
  <c r="BG42" i="6"/>
  <c r="Y42" i="6"/>
  <c r="BH42" i="6"/>
  <c r="AA42" i="6"/>
  <c r="AB42" i="6"/>
  <c r="AN42" i="6"/>
  <c r="BK42" i="6"/>
  <c r="BL42" i="6"/>
  <c r="E42" i="6"/>
  <c r="M42" i="6" s="1"/>
  <c r="BN18" i="5"/>
  <c r="AL27" i="6"/>
  <c r="Z20" i="6"/>
  <c r="AB28" i="6"/>
  <c r="R25" i="6"/>
  <c r="BW11" i="5"/>
  <c r="BW12" i="5" s="1"/>
  <c r="AM17" i="5"/>
  <c r="AM18" i="5" s="1"/>
  <c r="BD22" i="6"/>
  <c r="P20" i="6"/>
  <c r="D45" i="6"/>
  <c r="BG38" i="5"/>
  <c r="BG39" i="5" s="1"/>
  <c r="BF25" i="6"/>
  <c r="BH22" i="6"/>
  <c r="BN27" i="6"/>
  <c r="K24" i="6"/>
  <c r="AB20" i="6"/>
  <c r="AC17" i="5"/>
  <c r="AC18" i="5" s="1"/>
  <c r="BX11" i="5"/>
  <c r="BX12" i="5" s="1"/>
  <c r="S29" i="6"/>
  <c r="D41" i="6"/>
  <c r="H28" i="6"/>
  <c r="D44" i="6"/>
  <c r="V20" i="5"/>
  <c r="V21" i="5" s="1"/>
  <c r="AO29" i="5"/>
  <c r="AO30" i="5" s="1"/>
  <c r="AV15" i="5"/>
  <c r="D37" i="6"/>
  <c r="H20" i="6"/>
  <c r="D36" i="6"/>
  <c r="AO19" i="6"/>
  <c r="AX27" i="6"/>
  <c r="I27" i="6"/>
  <c r="AV26" i="5"/>
  <c r="AV27" i="5" s="1"/>
  <c r="AV27" i="6"/>
  <c r="AM26" i="6"/>
  <c r="D34" i="6"/>
  <c r="D18" i="6"/>
  <c r="BC20" i="6"/>
  <c r="BI25" i="6"/>
  <c r="AA25" i="6"/>
  <c r="D40" i="6"/>
  <c r="AF27" i="6"/>
  <c r="BH25" i="6"/>
  <c r="AU27" i="6"/>
  <c r="AA30" i="5"/>
  <c r="D38" i="6"/>
  <c r="I35" i="1"/>
  <c r="J35" i="1"/>
  <c r="R35" i="1"/>
  <c r="Z35" i="1"/>
  <c r="AH35" i="1"/>
  <c r="AY35" i="1"/>
  <c r="AB35" i="1"/>
  <c r="AJ35" i="1"/>
  <c r="AR35" i="1"/>
  <c r="AS35" i="1"/>
  <c r="BA35" i="1"/>
  <c r="BI35" i="1"/>
  <c r="AT35" i="1"/>
  <c r="P35" i="1"/>
  <c r="Q35" i="1"/>
  <c r="AG35" i="1"/>
  <c r="AO35" i="1"/>
  <c r="BE35" i="1"/>
  <c r="W35" i="1"/>
  <c r="AM35" i="1"/>
  <c r="Y35" i="1"/>
  <c r="AW35" i="1"/>
  <c r="N23" i="6"/>
  <c r="M23" i="6"/>
  <c r="BD23" i="6"/>
  <c r="BO23" i="6"/>
  <c r="BL23" i="6"/>
  <c r="AY23" i="6"/>
  <c r="AA23" i="6"/>
  <c r="AD23" i="6"/>
  <c r="AX23" i="6"/>
  <c r="BI23" i="6"/>
  <c r="BA21" i="5"/>
  <c r="AM23" i="6"/>
  <c r="BA23" i="6"/>
  <c r="AF20" i="5"/>
  <c r="AF21" i="5" s="1"/>
  <c r="R23" i="6"/>
  <c r="BJ23" i="6"/>
  <c r="CC20" i="5"/>
  <c r="CC21" i="5" s="1"/>
  <c r="AI23" i="6"/>
  <c r="H23" i="6"/>
  <c r="AW46" i="5"/>
  <c r="AW47" i="5" s="1"/>
  <c r="AV9" i="5"/>
  <c r="BB8" i="5"/>
  <c r="BB9" i="5" s="1"/>
  <c r="BL9" i="5"/>
  <c r="T19" i="6"/>
  <c r="AP24" i="7"/>
  <c r="AP40" i="1" s="1"/>
  <c r="AY24" i="7"/>
  <c r="AY40" i="1" s="1"/>
  <c r="E24" i="7"/>
  <c r="E40" i="1" s="1"/>
  <c r="D18" i="8"/>
  <c r="T20" i="6"/>
  <c r="AX20" i="6"/>
  <c r="BE22" i="6"/>
  <c r="AW12" i="5"/>
  <c r="AS25" i="6"/>
  <c r="O20" i="6"/>
  <c r="AI20" i="6"/>
  <c r="BB23" i="6"/>
  <c r="Q20" i="6"/>
  <c r="AD11" i="5"/>
  <c r="AD12" i="5" s="1"/>
  <c r="AZ21" i="6"/>
  <c r="AA21" i="6"/>
  <c r="I20" i="6"/>
  <c r="AX29" i="6"/>
  <c r="X23" i="6"/>
  <c r="BF29" i="6"/>
  <c r="AR20" i="6"/>
  <c r="BO26" i="5"/>
  <c r="BO27" i="5" s="1"/>
  <c r="I25" i="6"/>
  <c r="BH35" i="5"/>
  <c r="BH36" i="5" s="1"/>
  <c r="AU28" i="6"/>
  <c r="BS11" i="5"/>
  <c r="BS12" i="5" s="1"/>
  <c r="BE20" i="6"/>
  <c r="R24" i="6"/>
  <c r="X22" i="6"/>
  <c r="AL17" i="5"/>
  <c r="AL18" i="5" s="1"/>
  <c r="CD11" i="5"/>
  <c r="CD12" i="5" s="1"/>
  <c r="H19" i="6"/>
  <c r="BM11" i="5"/>
  <c r="BM12" i="5" s="1"/>
  <c r="AY20" i="6"/>
  <c r="AZ20" i="6"/>
  <c r="CC12" i="5"/>
  <c r="BO20" i="6"/>
  <c r="AO32" i="5"/>
  <c r="AO33" i="5" s="1"/>
  <c r="BG23" i="6"/>
  <c r="AN23" i="6"/>
  <c r="BB20" i="5"/>
  <c r="BB21" i="5" s="1"/>
  <c r="BM39" i="5"/>
  <c r="AG38" i="5"/>
  <c r="AG39" i="5" s="1"/>
  <c r="BC32" i="5"/>
  <c r="BC33" i="5" s="1"/>
  <c r="AJ20" i="6"/>
  <c r="AI29" i="6"/>
  <c r="BV38" i="5"/>
  <c r="BV39" i="5" s="1"/>
  <c r="U28" i="6"/>
  <c r="BH28" i="6"/>
  <c r="BV35" i="5"/>
  <c r="BV36" i="5" s="1"/>
  <c r="AL28" i="6"/>
  <c r="AY35" i="5"/>
  <c r="AY36" i="5" s="1"/>
  <c r="BI28" i="6"/>
  <c r="BH11" i="5"/>
  <c r="BH12" i="5" s="1"/>
  <c r="AU20" i="6"/>
  <c r="Z17" i="5"/>
  <c r="Z18" i="5" s="1"/>
  <c r="BL26" i="6"/>
  <c r="BY29" i="5"/>
  <c r="BY30" i="5" s="1"/>
  <c r="AX38" i="5"/>
  <c r="AX39" i="5" s="1"/>
  <c r="AK29" i="6"/>
  <c r="X32" i="5"/>
  <c r="X33" i="5" s="1"/>
  <c r="K27" i="6"/>
  <c r="J27" i="6"/>
  <c r="AD20" i="5"/>
  <c r="AD21" i="5" s="1"/>
  <c r="BF38" i="5"/>
  <c r="BF39" i="5" s="1"/>
  <c r="AK32" i="5"/>
  <c r="AK33" i="5" s="1"/>
  <c r="L28" i="6"/>
  <c r="BJ35" i="5"/>
  <c r="AV28" i="6"/>
  <c r="BJ36" i="5"/>
  <c r="AU11" i="5"/>
  <c r="AG20" i="6"/>
  <c r="AX17" i="5"/>
  <c r="AX18" i="5" s="1"/>
  <c r="AJ22" i="6"/>
  <c r="W22" i="6"/>
  <c r="AK17" i="5"/>
  <c r="AK18" i="5" s="1"/>
  <c r="BH17" i="5"/>
  <c r="BH18" i="5" s="1"/>
  <c r="BF11" i="5"/>
  <c r="BF12" i="5" s="1"/>
  <c r="BB25" i="6"/>
  <c r="CD38" i="5"/>
  <c r="CD39" i="5" s="1"/>
  <c r="BE35" i="5"/>
  <c r="BE36" i="5" s="1"/>
  <c r="AR28" i="6"/>
  <c r="BG35" i="5"/>
  <c r="BG36" i="5" s="1"/>
  <c r="AS28" i="6"/>
  <c r="AG22" i="6"/>
  <c r="AU17" i="5"/>
  <c r="AU18" i="5" s="1"/>
  <c r="AF20" i="6"/>
  <c r="AZ14" i="5"/>
  <c r="AZ15" i="5" s="1"/>
  <c r="BR8" i="5"/>
  <c r="BR9" i="5" s="1"/>
  <c r="BE21" i="5"/>
  <c r="U23" i="6"/>
  <c r="AI21" i="5"/>
  <c r="V23" i="6"/>
  <c r="BU38" i="5"/>
  <c r="BU39" i="5" s="1"/>
  <c r="AS17" i="5"/>
  <c r="AS18" i="5" s="1"/>
  <c r="AE22" i="6"/>
  <c r="BA28" i="6"/>
  <c r="U25" i="6"/>
  <c r="BI23" i="5"/>
  <c r="BI24" i="5" s="1"/>
  <c r="BL27" i="6"/>
  <c r="BZ32" i="5"/>
  <c r="BZ33" i="5" s="1"/>
  <c r="H25" i="6"/>
  <c r="V26" i="5"/>
  <c r="V27" i="5" s="1"/>
  <c r="BB28" i="6"/>
  <c r="BP36" i="5"/>
  <c r="W18" i="5"/>
  <c r="AZ25" i="6"/>
  <c r="BH27" i="6"/>
  <c r="L29" i="6"/>
  <c r="BO35" i="5"/>
  <c r="BO36" i="5" s="1"/>
  <c r="AA28" i="6"/>
  <c r="AW26" i="5"/>
  <c r="AW27" i="5" s="1"/>
  <c r="AP23" i="6"/>
  <c r="AN20" i="6"/>
  <c r="AU12" i="5"/>
  <c r="AH26" i="5"/>
  <c r="AH27" i="5" s="1"/>
  <c r="AU22" i="6"/>
  <c r="U21" i="6"/>
  <c r="AG14" i="5"/>
  <c r="AG15" i="5" s="1"/>
  <c r="AK23" i="5"/>
  <c r="AK24" i="5" s="1"/>
  <c r="BN33" i="5"/>
  <c r="AZ27" i="6"/>
  <c r="R20" i="6"/>
  <c r="Y25" i="6"/>
  <c r="Z25" i="6"/>
  <c r="AM26" i="5"/>
  <c r="AM27" i="5" s="1"/>
  <c r="AL8" i="5"/>
  <c r="AL9" i="5" s="1"/>
  <c r="BS32" i="5"/>
  <c r="BS33" i="5" s="1"/>
  <c r="BK23" i="6"/>
  <c r="BK20" i="6"/>
  <c r="AO27" i="6"/>
  <c r="Z38" i="5"/>
  <c r="Z39" i="5" s="1"/>
  <c r="AY25" i="6"/>
  <c r="AV35" i="5"/>
  <c r="AV36" i="5" s="1"/>
  <c r="BF20" i="6"/>
  <c r="BA35" i="5"/>
  <c r="BA36" i="5" s="1"/>
  <c r="AL23" i="6"/>
  <c r="V8" i="5"/>
  <c r="V9" i="5" s="1"/>
  <c r="BK19" i="6"/>
  <c r="T27" i="6"/>
  <c r="AR25" i="6"/>
  <c r="BM20" i="6"/>
  <c r="BL20" i="6"/>
  <c r="AQ20" i="6"/>
  <c r="BT11" i="5"/>
  <c r="BT12" i="5" s="1"/>
  <c r="BG20" i="5"/>
  <c r="BG21" i="5" s="1"/>
  <c r="AT23" i="6"/>
  <c r="BD18" i="6"/>
  <c r="BY17" i="5"/>
  <c r="BY18" i="5" s="1"/>
  <c r="L20" i="6"/>
  <c r="K20" i="6"/>
  <c r="AP20" i="6"/>
  <c r="T22" i="6"/>
  <c r="CD15" i="5"/>
  <c r="BN22" i="6"/>
  <c r="S21" i="6"/>
  <c r="AL25" i="6"/>
  <c r="AH18" i="5"/>
  <c r="BL22" i="6"/>
  <c r="I19" i="6"/>
  <c r="AF9" i="5"/>
  <c r="BM27" i="6"/>
  <c r="BM22" i="6"/>
  <c r="W24" i="6"/>
  <c r="P23" i="6"/>
  <c r="AL21" i="6"/>
  <c r="Y12" i="5"/>
  <c r="AC12" i="5"/>
  <c r="BC21" i="6"/>
  <c r="AD27" i="6"/>
  <c r="N27" i="6"/>
  <c r="Y20" i="6"/>
  <c r="X20" i="6"/>
  <c r="BD21" i="6"/>
  <c r="BL21" i="5"/>
  <c r="AB27" i="6"/>
  <c r="AK46" i="5"/>
  <c r="AK47" i="5" s="1"/>
  <c r="BR42" i="5"/>
  <c r="BR43" i="5" s="1"/>
  <c r="AL20" i="6"/>
  <c r="AU24" i="6"/>
  <c r="V20" i="6"/>
  <c r="AL46" i="5"/>
  <c r="AL47" i="5" s="1"/>
  <c r="AZ33" i="5"/>
  <c r="AA46" i="5"/>
  <c r="AA47" i="5" s="1"/>
  <c r="V35" i="5"/>
  <c r="V36" i="5" s="1"/>
  <c r="BE29" i="6"/>
  <c r="BF46" i="5"/>
  <c r="BF47" i="5" s="1"/>
  <c r="BC46" i="5"/>
  <c r="BC47" i="5" s="1"/>
  <c r="BN46" i="5"/>
  <c r="BN47" i="5" s="1"/>
  <c r="AT46" i="5"/>
  <c r="AT47" i="5" s="1"/>
  <c r="AG29" i="6"/>
  <c r="AG46" i="5"/>
  <c r="AG47" i="5" s="1"/>
  <c r="AM11" i="5"/>
  <c r="AM12" i="5" s="1"/>
  <c r="C18" i="8"/>
  <c r="E18" i="8"/>
  <c r="AD24" i="7"/>
  <c r="AD40" i="1" s="1"/>
  <c r="AO46" i="5"/>
  <c r="AO47" i="5" s="1"/>
  <c r="BD19" i="6"/>
  <c r="BH46" i="5"/>
  <c r="BH47" i="5" s="1"/>
  <c r="BK46" i="5"/>
  <c r="BK47" i="5" s="1"/>
  <c r="M19" i="6"/>
  <c r="AH19" i="6"/>
  <c r="BA24" i="7"/>
  <c r="BA40" i="1" s="1"/>
  <c r="Z21" i="6"/>
  <c r="AH46" i="5"/>
  <c r="AH47" i="5" s="1"/>
  <c r="AX46" i="5"/>
  <c r="AX47" i="5" s="1"/>
  <c r="BL46" i="5"/>
  <c r="BL47" i="5" s="1"/>
  <c r="AJ46" i="5"/>
  <c r="AJ47" i="5" s="1"/>
  <c r="AP46" i="5"/>
  <c r="AP47" i="5" s="1"/>
  <c r="BA46" i="5"/>
  <c r="BA47" i="5" s="1"/>
  <c r="U24" i="7"/>
  <c r="U40" i="1" s="1"/>
  <c r="CB42" i="5"/>
  <c r="CB43" i="5" s="1"/>
  <c r="BZ46" i="5"/>
  <c r="BZ47" i="5" s="1"/>
  <c r="X46" i="5"/>
  <c r="X47" i="5" s="1"/>
  <c r="BV46" i="5"/>
  <c r="BV47" i="5" s="1"/>
  <c r="Y46" i="5"/>
  <c r="Y47" i="5" s="1"/>
  <c r="AH21" i="6"/>
  <c r="AR46" i="5"/>
  <c r="AR47" i="5" s="1"/>
  <c r="BP46" i="5"/>
  <c r="BP47" i="5" s="1"/>
  <c r="BU42" i="5"/>
  <c r="BU43" i="5" s="1"/>
  <c r="M21" i="6"/>
  <c r="V46" i="5"/>
  <c r="V47" i="5" s="1"/>
  <c r="BG24" i="7"/>
  <c r="BG40" i="1" s="1"/>
  <c r="X19" i="6"/>
  <c r="BN19" i="6"/>
  <c r="O24" i="7"/>
  <c r="O40" i="1" s="1"/>
  <c r="AL24" i="7"/>
  <c r="AL40" i="1" s="1"/>
  <c r="AC24" i="7"/>
  <c r="AC40" i="1" s="1"/>
  <c r="AE24" i="7"/>
  <c r="AE40" i="1" s="1"/>
  <c r="AQ24" i="7"/>
  <c r="AQ40" i="1" s="1"/>
  <c r="AV24" i="7"/>
  <c r="AV40" i="1" s="1"/>
  <c r="K24" i="7"/>
  <c r="K40" i="1" s="1"/>
  <c r="AS24" i="7"/>
  <c r="AS40" i="1" s="1"/>
  <c r="L24" i="7"/>
  <c r="L40" i="1" s="1"/>
  <c r="V24" i="7"/>
  <c r="V40" i="1" s="1"/>
  <c r="M24" i="7"/>
  <c r="M40" i="1" s="1"/>
  <c r="AM24" i="7"/>
  <c r="AM40" i="1" s="1"/>
  <c r="H24" i="7"/>
  <c r="H40" i="1" s="1"/>
  <c r="BE24" i="7"/>
  <c r="BE40" i="1" s="1"/>
  <c r="E29" i="8"/>
  <c r="W29" i="6"/>
  <c r="AK38" i="5"/>
  <c r="AK39" i="5" s="1"/>
  <c r="J22" i="6"/>
  <c r="X17" i="5"/>
  <c r="X18" i="5" s="1"/>
  <c r="F29" i="8"/>
  <c r="AW24" i="7"/>
  <c r="AW40" i="1" s="1"/>
  <c r="X24" i="7"/>
  <c r="X40" i="1" s="1"/>
  <c r="D24" i="7"/>
  <c r="D40" i="1" s="1"/>
  <c r="BH24" i="7"/>
  <c r="BH40" i="1" s="1"/>
  <c r="F24" i="7"/>
  <c r="F40" i="1" s="1"/>
  <c r="Z24" i="7"/>
  <c r="Z40" i="1" s="1"/>
  <c r="G24" i="7"/>
  <c r="G40" i="1" s="1"/>
  <c r="AX25" i="1"/>
  <c r="F18" i="8" s="1"/>
  <c r="AD29" i="6"/>
  <c r="AR38" i="5"/>
  <c r="AR39" i="5" s="1"/>
  <c r="AM29" i="6"/>
  <c r="BA38" i="5"/>
  <c r="BA39" i="5" s="1"/>
  <c r="AN29" i="6"/>
  <c r="BB38" i="5"/>
  <c r="BB39" i="5" s="1"/>
  <c r="W28" i="6"/>
  <c r="AK35" i="5"/>
  <c r="AK36" i="5" s="1"/>
  <c r="Y28" i="6"/>
  <c r="AM35" i="5"/>
  <c r="AM36" i="5" s="1"/>
  <c r="AA29" i="6"/>
  <c r="AO38" i="5"/>
  <c r="AO39" i="5" s="1"/>
  <c r="AS27" i="6"/>
  <c r="BG32" i="5"/>
  <c r="BG33" i="5" s="1"/>
  <c r="BF22" i="6"/>
  <c r="BT17" i="5"/>
  <c r="BT18" i="5" s="1"/>
  <c r="R29" i="6"/>
  <c r="BG25" i="6"/>
  <c r="BU26" i="5"/>
  <c r="BU27" i="5" s="1"/>
  <c r="AE25" i="6"/>
  <c r="AS26" i="5"/>
  <c r="AS27" i="5" s="1"/>
  <c r="BA22" i="6"/>
  <c r="BO17" i="5"/>
  <c r="BO18" i="5" s="1"/>
  <c r="J28" i="6"/>
  <c r="BE24" i="6"/>
  <c r="BS23" i="5"/>
  <c r="BS24" i="5" s="1"/>
  <c r="BO24" i="6"/>
  <c r="CC23" i="5"/>
  <c r="CC24" i="5" s="1"/>
  <c r="N25" i="6"/>
  <c r="AB24" i="6"/>
  <c r="AP23" i="5"/>
  <c r="AP24" i="5" s="1"/>
  <c r="M24" i="6"/>
  <c r="AA23" i="5"/>
  <c r="AA24" i="5" s="1"/>
  <c r="P24" i="6"/>
  <c r="AD23" i="5"/>
  <c r="AD24" i="5" s="1"/>
  <c r="AV25" i="6"/>
  <c r="L24" i="6"/>
  <c r="Z23" i="5"/>
  <c r="Z24" i="5" s="1"/>
  <c r="Z23" i="6"/>
  <c r="AN20" i="5"/>
  <c r="AN21" i="5" s="1"/>
  <c r="BH23" i="6"/>
  <c r="BV20" i="5"/>
  <c r="BV21" i="5" s="1"/>
  <c r="BE23" i="6"/>
  <c r="BS20" i="5"/>
  <c r="BS21" i="5" s="1"/>
  <c r="BA20" i="6"/>
  <c r="BO11" i="5"/>
  <c r="BO12" i="5" s="1"/>
  <c r="W21" i="6"/>
  <c r="AK14" i="5"/>
  <c r="AK15" i="5" s="1"/>
  <c r="AW19" i="6"/>
  <c r="BK8" i="5"/>
  <c r="BK9" i="5" s="1"/>
  <c r="AQ18" i="6"/>
  <c r="BE42" i="5"/>
  <c r="BE43" i="5" s="1"/>
  <c r="BE5" i="5"/>
  <c r="BE6" i="5" s="1"/>
  <c r="AK19" i="6"/>
  <c r="AY8" i="5"/>
  <c r="AY9" i="5" s="1"/>
  <c r="BA18" i="6"/>
  <c r="BO42" i="5"/>
  <c r="BO43" i="5" s="1"/>
  <c r="BO5" i="5"/>
  <c r="BO6" i="5" s="1"/>
  <c r="Z46" i="5"/>
  <c r="Z47" i="5" s="1"/>
  <c r="AD19" i="6"/>
  <c r="AR8" i="5"/>
  <c r="AR9" i="5" s="1"/>
  <c r="AI19" i="6"/>
  <c r="AW8" i="5"/>
  <c r="AW9" i="5" s="1"/>
  <c r="AC18" i="6"/>
  <c r="AQ42" i="5"/>
  <c r="AQ43" i="5" s="1"/>
  <c r="AQ5" i="5"/>
  <c r="AQ6" i="5" s="1"/>
  <c r="N18" i="6"/>
  <c r="AB42" i="5"/>
  <c r="AB43" i="5" s="1"/>
  <c r="AB5" i="5"/>
  <c r="AB6" i="5" s="1"/>
  <c r="AX19" i="6"/>
  <c r="AE26" i="6"/>
  <c r="AS29" i="5"/>
  <c r="AS30" i="5" s="1"/>
  <c r="BE26" i="6"/>
  <c r="BS29" i="5"/>
  <c r="BS30" i="5" s="1"/>
  <c r="W26" i="6"/>
  <c r="AK29" i="5"/>
  <c r="AK30" i="5" s="1"/>
  <c r="BH26" i="6"/>
  <c r="BV29" i="5"/>
  <c r="BV30" i="5" s="1"/>
  <c r="P26" i="6"/>
  <c r="AD29" i="5"/>
  <c r="AD30" i="5" s="1"/>
  <c r="AD26" i="6"/>
  <c r="AR29" i="5"/>
  <c r="AR30" i="5" s="1"/>
  <c r="BJ18" i="6"/>
  <c r="BX42" i="5"/>
  <c r="BX43" i="5" s="1"/>
  <c r="BX5" i="5"/>
  <c r="BX6" i="5" s="1"/>
  <c r="BI18" i="6"/>
  <c r="BW42" i="5"/>
  <c r="BW43" i="5" s="1"/>
  <c r="BW5" i="5"/>
  <c r="BW6" i="5" s="1"/>
  <c r="AS23" i="6"/>
  <c r="CD8" i="5"/>
  <c r="CD9" i="5" s="1"/>
  <c r="AT18" i="6"/>
  <c r="BH42" i="5"/>
  <c r="BH43" i="5" s="1"/>
  <c r="BH5" i="5"/>
  <c r="BH6" i="5" s="1"/>
  <c r="BI21" i="6"/>
  <c r="BO18" i="6"/>
  <c r="CC42" i="5"/>
  <c r="CC43" i="5" s="1"/>
  <c r="CC5" i="5"/>
  <c r="CC6" i="5" s="1"/>
  <c r="L18" i="6"/>
  <c r="Z42" i="5"/>
  <c r="Z43" i="5" s="1"/>
  <c r="Z5" i="5"/>
  <c r="Z6" i="5" s="1"/>
  <c r="L21" i="6"/>
  <c r="Z14" i="5"/>
  <c r="Z15" i="5" s="1"/>
  <c r="H21" i="6"/>
  <c r="V14" i="5"/>
  <c r="V15" i="5" s="1"/>
  <c r="Y21" i="6"/>
  <c r="AM14" i="5"/>
  <c r="AM15" i="5" s="1"/>
  <c r="BG21" i="6"/>
  <c r="BU14" i="5"/>
  <c r="BU15" i="5" s="1"/>
  <c r="AG19" i="6"/>
  <c r="AU8" i="5"/>
  <c r="AU9" i="5" s="1"/>
  <c r="BE25" i="6"/>
  <c r="AC21" i="6"/>
  <c r="AQ14" i="5"/>
  <c r="AQ15" i="5" s="1"/>
  <c r="BA19" i="6"/>
  <c r="BO8" i="5"/>
  <c r="BO9" i="5" s="1"/>
  <c r="Z18" i="6"/>
  <c r="AN42" i="5"/>
  <c r="AN43" i="5" s="1"/>
  <c r="AN5" i="5"/>
  <c r="AN6" i="5" s="1"/>
  <c r="M26" i="6"/>
  <c r="AS18" i="6"/>
  <c r="AA24" i="7"/>
  <c r="AA40" i="1" s="1"/>
  <c r="AB24" i="7"/>
  <c r="AB40" i="1" s="1"/>
  <c r="P24" i="7"/>
  <c r="P40" i="1" s="1"/>
  <c r="T24" i="7"/>
  <c r="T40" i="1" s="1"/>
  <c r="BO29" i="6"/>
  <c r="CC38" i="5"/>
  <c r="CC39" i="5" s="1"/>
  <c r="AL29" i="6"/>
  <c r="AZ38" i="5"/>
  <c r="AZ39" i="5" s="1"/>
  <c r="AU29" i="6"/>
  <c r="BI38" i="5"/>
  <c r="BI39" i="5" s="1"/>
  <c r="AV29" i="6"/>
  <c r="BJ38" i="5"/>
  <c r="BJ39" i="5" s="1"/>
  <c r="N28" i="6"/>
  <c r="AB35" i="5"/>
  <c r="AB36" i="5" s="1"/>
  <c r="AG28" i="6"/>
  <c r="AU35" i="5"/>
  <c r="AU36" i="5" s="1"/>
  <c r="M29" i="6"/>
  <c r="AA38" i="5"/>
  <c r="AA39" i="5" s="1"/>
  <c r="AK27" i="6"/>
  <c r="AY32" i="5"/>
  <c r="AY33" i="5" s="1"/>
  <c r="BM25" i="6"/>
  <c r="CA26" i="5"/>
  <c r="CA27" i="5" s="1"/>
  <c r="AX22" i="6"/>
  <c r="BL17" i="5"/>
  <c r="BL18" i="5" s="1"/>
  <c r="AC29" i="6"/>
  <c r="AX25" i="6"/>
  <c r="BL26" i="5"/>
  <c r="BL27" i="5" s="1"/>
  <c r="AM25" i="6"/>
  <c r="BA26" i="5"/>
  <c r="BA27" i="5" s="1"/>
  <c r="AS22" i="6"/>
  <c r="BG17" i="5"/>
  <c r="BG18" i="5" s="1"/>
  <c r="Y29" i="6"/>
  <c r="AS24" i="6"/>
  <c r="BG23" i="5"/>
  <c r="BG24" i="5" s="1"/>
  <c r="BC24" i="6"/>
  <c r="BQ23" i="5"/>
  <c r="BQ24" i="5" s="1"/>
  <c r="O24" i="6"/>
  <c r="AC23" i="5"/>
  <c r="AC24" i="5" s="1"/>
  <c r="V24" i="6"/>
  <c r="AJ23" i="5"/>
  <c r="AJ24" i="5" s="1"/>
  <c r="X24" i="6"/>
  <c r="AL23" i="5"/>
  <c r="AL24" i="5" s="1"/>
  <c r="AY24" i="6"/>
  <c r="BM23" i="5"/>
  <c r="BM24" i="5" s="1"/>
  <c r="O23" i="6"/>
  <c r="AC20" i="5"/>
  <c r="AC21" i="5" s="1"/>
  <c r="CD20" i="5"/>
  <c r="CD21" i="5" s="1"/>
  <c r="BM23" i="6"/>
  <c r="CA20" i="5"/>
  <c r="CA21" i="5" s="1"/>
  <c r="AS20" i="6"/>
  <c r="BG11" i="5"/>
  <c r="BG12" i="5" s="1"/>
  <c r="AX26" i="6"/>
  <c r="BL29" i="5"/>
  <c r="BL30" i="5" s="1"/>
  <c r="K21" i="6"/>
  <c r="Y14" i="5"/>
  <c r="Y15" i="5" s="1"/>
  <c r="AM19" i="6"/>
  <c r="BA8" i="5"/>
  <c r="BA9" i="5" s="1"/>
  <c r="AG18" i="6"/>
  <c r="AU42" i="5"/>
  <c r="AU43" i="5" s="1"/>
  <c r="AU5" i="5"/>
  <c r="AU6" i="5" s="1"/>
  <c r="Z19" i="6"/>
  <c r="AN8" i="5"/>
  <c r="AN9" i="5" s="1"/>
  <c r="AP18" i="6"/>
  <c r="BD42" i="5"/>
  <c r="BD43" i="5" s="1"/>
  <c r="BD5" i="5"/>
  <c r="BD6" i="5" s="1"/>
  <c r="W46" i="5"/>
  <c r="W47" i="5" s="1"/>
  <c r="AL19" i="6"/>
  <c r="AZ8" i="5"/>
  <c r="AZ9" i="5" s="1"/>
  <c r="AQ19" i="6"/>
  <c r="BE8" i="5"/>
  <c r="BE9" i="5" s="1"/>
  <c r="AN26" i="6"/>
  <c r="BB29" i="5"/>
  <c r="BB30" i="5" s="1"/>
  <c r="AP26" i="6"/>
  <c r="BD29" i="5"/>
  <c r="BD30" i="5" s="1"/>
  <c r="CD29" i="5"/>
  <c r="CD30" i="5" s="1"/>
  <c r="AI26" i="6"/>
  <c r="AW29" i="5"/>
  <c r="AW30" i="5" s="1"/>
  <c r="J26" i="6"/>
  <c r="X29" i="5"/>
  <c r="X30" i="5" s="1"/>
  <c r="Y26" i="6"/>
  <c r="AM29" i="5"/>
  <c r="AM30" i="5" s="1"/>
  <c r="AL26" i="6"/>
  <c r="AZ29" i="5"/>
  <c r="AZ30" i="5" s="1"/>
  <c r="J24" i="6"/>
  <c r="AO18" i="6"/>
  <c r="BC42" i="5"/>
  <c r="BC43" i="5" s="1"/>
  <c r="BC5" i="5"/>
  <c r="BC6" i="5" s="1"/>
  <c r="R18" i="6"/>
  <c r="AF42" i="5"/>
  <c r="AF43" i="5" s="1"/>
  <c r="AF5" i="5"/>
  <c r="AF6" i="5" s="1"/>
  <c r="BE19" i="6"/>
  <c r="BS8" i="5"/>
  <c r="BS9" i="5" s="1"/>
  <c r="C30" i="6"/>
  <c r="AT20" i="6"/>
  <c r="O18" i="6"/>
  <c r="AC42" i="5"/>
  <c r="AC43" i="5" s="1"/>
  <c r="AC5" i="5"/>
  <c r="AC6" i="5" s="1"/>
  <c r="T18" i="6"/>
  <c r="AH42" i="5"/>
  <c r="AH43" i="5" s="1"/>
  <c r="AH5" i="5"/>
  <c r="AH6" i="5" s="1"/>
  <c r="T21" i="6"/>
  <c r="AH14" i="5"/>
  <c r="AH15" i="5" s="1"/>
  <c r="P21" i="6"/>
  <c r="AD14" i="5"/>
  <c r="AD15" i="5" s="1"/>
  <c r="AG21" i="6"/>
  <c r="AU14" i="5"/>
  <c r="AU15" i="5" s="1"/>
  <c r="BO21" i="6"/>
  <c r="CC14" i="5"/>
  <c r="CC15" i="5" s="1"/>
  <c r="BB20" i="6"/>
  <c r="W19" i="6"/>
  <c r="AK8" i="5"/>
  <c r="AK9" i="5" s="1"/>
  <c r="T25" i="6"/>
  <c r="O21" i="6"/>
  <c r="AC14" i="5"/>
  <c r="AC15" i="5" s="1"/>
  <c r="AP19" i="6"/>
  <c r="BD8" i="5"/>
  <c r="BD9" i="5" s="1"/>
  <c r="P18" i="6"/>
  <c r="AD42" i="5"/>
  <c r="AD43" i="5" s="1"/>
  <c r="AD5" i="5"/>
  <c r="AD6" i="5" s="1"/>
  <c r="BG18" i="6"/>
  <c r="BF19" i="6"/>
  <c r="AI24" i="7"/>
  <c r="AI40" i="1" s="1"/>
  <c r="Y24" i="7"/>
  <c r="Y40" i="1" s="1"/>
  <c r="AF24" i="7"/>
  <c r="AF40" i="1" s="1"/>
  <c r="BB24" i="7"/>
  <c r="BB40" i="1" s="1"/>
  <c r="AG24" i="7"/>
  <c r="AG40" i="1" s="1"/>
  <c r="AR24" i="7"/>
  <c r="AR40" i="1" s="1"/>
  <c r="W24" i="7"/>
  <c r="W40" i="1" s="1"/>
  <c r="AH24" i="7"/>
  <c r="AH40" i="1" s="1"/>
  <c r="AN24" i="7"/>
  <c r="AN40" i="1" s="1"/>
  <c r="BA29" i="6"/>
  <c r="BO38" i="5"/>
  <c r="BO39" i="5" s="1"/>
  <c r="AT29" i="6"/>
  <c r="BH38" i="5"/>
  <c r="BH39" i="5" s="1"/>
  <c r="BC29" i="6"/>
  <c r="BQ38" i="5"/>
  <c r="BQ39" i="5" s="1"/>
  <c r="BD29" i="6"/>
  <c r="BR38" i="5"/>
  <c r="BR39" i="5" s="1"/>
  <c r="BC28" i="6"/>
  <c r="BQ35" i="5"/>
  <c r="BQ36" i="5" s="1"/>
  <c r="AO28" i="6"/>
  <c r="BC35" i="5"/>
  <c r="BC36" i="5" s="1"/>
  <c r="AX28" i="6"/>
  <c r="BL35" i="5"/>
  <c r="BL36" i="5" s="1"/>
  <c r="AC27" i="6"/>
  <c r="AQ32" i="5"/>
  <c r="AQ33" i="5" s="1"/>
  <c r="BD25" i="6"/>
  <c r="BR26" i="5"/>
  <c r="BR27" i="5" s="1"/>
  <c r="AP22" i="6"/>
  <c r="BD17" i="5"/>
  <c r="BD18" i="5" s="1"/>
  <c r="BN28" i="6"/>
  <c r="X28" i="6"/>
  <c r="AO25" i="6"/>
  <c r="BC26" i="5"/>
  <c r="BC27" i="5" s="1"/>
  <c r="AU25" i="6"/>
  <c r="BI26" i="5"/>
  <c r="BI27" i="5" s="1"/>
  <c r="AK22" i="6"/>
  <c r="AY17" i="5"/>
  <c r="AY18" i="5" s="1"/>
  <c r="AC25" i="6"/>
  <c r="AG24" i="6"/>
  <c r="AU23" i="5"/>
  <c r="AU24" i="5" s="1"/>
  <c r="AQ24" i="6"/>
  <c r="BE23" i="5"/>
  <c r="BE24" i="5" s="1"/>
  <c r="AQ28" i="6"/>
  <c r="R28" i="6"/>
  <c r="BB24" i="6"/>
  <c r="Q24" i="6"/>
  <c r="AE23" i="5"/>
  <c r="AE24" i="5" s="1"/>
  <c r="AE24" i="6"/>
  <c r="AS23" i="5"/>
  <c r="AS24" i="5" s="1"/>
  <c r="AF24" i="6"/>
  <c r="AT23" i="5"/>
  <c r="AT24" i="5" s="1"/>
  <c r="O28" i="6"/>
  <c r="AL24" i="6"/>
  <c r="AZ23" i="5"/>
  <c r="AZ24" i="5" s="1"/>
  <c r="AV23" i="6"/>
  <c r="L23" i="6"/>
  <c r="Z20" i="5"/>
  <c r="Z21" i="5" s="1"/>
  <c r="I23" i="6"/>
  <c r="W20" i="5"/>
  <c r="W21" i="5" s="1"/>
  <c r="AK20" i="6"/>
  <c r="AY11" i="5"/>
  <c r="AY12" i="5" s="1"/>
  <c r="AB19" i="6"/>
  <c r="AP8" i="5"/>
  <c r="AP9" i="5" s="1"/>
  <c r="V18" i="6"/>
  <c r="AJ42" i="5"/>
  <c r="AJ43" i="5" s="1"/>
  <c r="AJ5" i="5"/>
  <c r="AJ6" i="5" s="1"/>
  <c r="P19" i="6"/>
  <c r="AD8" i="5"/>
  <c r="AD9" i="5" s="1"/>
  <c r="AF18" i="6"/>
  <c r="AT42" i="5"/>
  <c r="AT43" i="5" s="1"/>
  <c r="AT5" i="5"/>
  <c r="AT6" i="5" s="1"/>
  <c r="AY46" i="5"/>
  <c r="AY47" i="5" s="1"/>
  <c r="AC46" i="5"/>
  <c r="AC47" i="5" s="1"/>
  <c r="BQ46" i="5"/>
  <c r="BQ47" i="5" s="1"/>
  <c r="BS46" i="5"/>
  <c r="BS47" i="5" s="1"/>
  <c r="AN46" i="5"/>
  <c r="AN47" i="5" s="1"/>
  <c r="AT19" i="6"/>
  <c r="BH8" i="5"/>
  <c r="BH9" i="5" s="1"/>
  <c r="AY19" i="6"/>
  <c r="BM8" i="5"/>
  <c r="BM9" i="5" s="1"/>
  <c r="Q26" i="6"/>
  <c r="AE29" i="5"/>
  <c r="AE30" i="5" s="1"/>
  <c r="BC26" i="6"/>
  <c r="BQ29" i="5"/>
  <c r="BQ30" i="5" s="1"/>
  <c r="I26" i="6"/>
  <c r="W29" i="5"/>
  <c r="W30" i="5" s="1"/>
  <c r="AV26" i="6"/>
  <c r="BJ29" i="5"/>
  <c r="BJ30" i="5" s="1"/>
  <c r="S26" i="6"/>
  <c r="AG29" i="5"/>
  <c r="AG30" i="5" s="1"/>
  <c r="AH26" i="6"/>
  <c r="AV29" i="5"/>
  <c r="AV30" i="5" s="1"/>
  <c r="AT26" i="6"/>
  <c r="BH29" i="5"/>
  <c r="BH30" i="5" s="1"/>
  <c r="S18" i="6"/>
  <c r="AG42" i="5"/>
  <c r="AG43" i="5" s="1"/>
  <c r="AG5" i="5"/>
  <c r="AG6" i="5" s="1"/>
  <c r="AA22" i="6"/>
  <c r="AJ19" i="6"/>
  <c r="AX8" i="5"/>
  <c r="AX9" i="5" s="1"/>
  <c r="W18" i="6"/>
  <c r="AK42" i="5"/>
  <c r="AK43" i="5" s="1"/>
  <c r="AK5" i="5"/>
  <c r="AK6" i="5" s="1"/>
  <c r="AB18" i="6"/>
  <c r="AP42" i="5"/>
  <c r="AP43" i="5" s="1"/>
  <c r="AP5" i="5"/>
  <c r="AP6" i="5" s="1"/>
  <c r="BK24" i="6"/>
  <c r="AB21" i="6"/>
  <c r="AP14" i="5"/>
  <c r="AP15" i="5" s="1"/>
  <c r="AF21" i="6"/>
  <c r="AT14" i="5"/>
  <c r="AT15" i="5" s="1"/>
  <c r="AO21" i="6"/>
  <c r="BC14" i="5"/>
  <c r="BC15" i="5" s="1"/>
  <c r="L19" i="6"/>
  <c r="Z8" i="5"/>
  <c r="Z9" i="5" s="1"/>
  <c r="BE18" i="6"/>
  <c r="BS42" i="5"/>
  <c r="BS43" i="5" s="1"/>
  <c r="BS5" i="5"/>
  <c r="BS6" i="5" s="1"/>
  <c r="AC19" i="6"/>
  <c r="AF19" i="6"/>
  <c r="AT8" i="5"/>
  <c r="AT9" i="5" s="1"/>
  <c r="AL42" i="5"/>
  <c r="AL43" i="5" s="1"/>
  <c r="AU24" i="7"/>
  <c r="AU40" i="1" s="1"/>
  <c r="AP29" i="6"/>
  <c r="BD38" i="5"/>
  <c r="BD39" i="5" s="1"/>
  <c r="BB29" i="6"/>
  <c r="BP38" i="5"/>
  <c r="BP39" i="5" s="1"/>
  <c r="BK29" i="6"/>
  <c r="BY38" i="5"/>
  <c r="BY39" i="5" s="1"/>
  <c r="BL29" i="6"/>
  <c r="BZ38" i="5"/>
  <c r="BZ39" i="5" s="1"/>
  <c r="BK28" i="6"/>
  <c r="BY35" i="5"/>
  <c r="BY36" i="5" s="1"/>
  <c r="AW28" i="6"/>
  <c r="BK35" i="5"/>
  <c r="BK36" i="5" s="1"/>
  <c r="AN28" i="6"/>
  <c r="BB35" i="5"/>
  <c r="BB36" i="5" s="1"/>
  <c r="U27" i="6"/>
  <c r="AI32" i="5"/>
  <c r="AI33" i="5" s="1"/>
  <c r="AT25" i="6"/>
  <c r="BH26" i="5"/>
  <c r="BH27" i="5" s="1"/>
  <c r="AH22" i="6"/>
  <c r="AV17" i="5"/>
  <c r="AV18" i="5" s="1"/>
  <c r="AF25" i="6"/>
  <c r="AT26" i="5"/>
  <c r="AT27" i="5" s="1"/>
  <c r="BC25" i="6"/>
  <c r="BQ26" i="5"/>
  <c r="BQ27" i="5" s="1"/>
  <c r="AC22" i="6"/>
  <c r="AQ17" i="5"/>
  <c r="AQ18" i="5" s="1"/>
  <c r="T24" i="6"/>
  <c r="AH23" i="5"/>
  <c r="AH24" i="5" s="1"/>
  <c r="P25" i="6"/>
  <c r="AD24" i="6"/>
  <c r="AR23" i="5"/>
  <c r="AR24" i="5" s="1"/>
  <c r="Z24" i="6"/>
  <c r="AN23" i="5"/>
  <c r="AN24" i="5" s="1"/>
  <c r="AO24" i="6"/>
  <c r="BC23" i="5"/>
  <c r="BC24" i="5" s="1"/>
  <c r="AN24" i="6"/>
  <c r="BB23" i="5"/>
  <c r="BB24" i="5" s="1"/>
  <c r="AA24" i="6"/>
  <c r="AO23" i="5"/>
  <c r="AO24" i="5" s="1"/>
  <c r="BJ22" i="6"/>
  <c r="T23" i="6"/>
  <c r="AH20" i="5"/>
  <c r="AH21" i="5" s="1"/>
  <c r="Q23" i="6"/>
  <c r="AE20" i="5"/>
  <c r="AE21" i="5" s="1"/>
  <c r="AC20" i="6"/>
  <c r="AQ11" i="5"/>
  <c r="AQ12" i="5" s="1"/>
  <c r="Q19" i="6"/>
  <c r="AE8" i="5"/>
  <c r="AE9" i="5" s="1"/>
  <c r="K18" i="6"/>
  <c r="Y42" i="5"/>
  <c r="Y43" i="5" s="1"/>
  <c r="Y5" i="5"/>
  <c r="Y6" i="5" s="1"/>
  <c r="U18" i="6"/>
  <c r="AI42" i="5"/>
  <c r="AI43" i="5" s="1"/>
  <c r="AI5" i="5"/>
  <c r="AI6" i="5" s="1"/>
  <c r="BX46" i="5"/>
  <c r="BX47" i="5" s="1"/>
  <c r="BB46" i="5"/>
  <c r="BB47" i="5" s="1"/>
  <c r="AE46" i="5"/>
  <c r="AE47" i="5" s="1"/>
  <c r="AV46" i="5"/>
  <c r="AV47" i="5" s="1"/>
  <c r="BB19" i="6"/>
  <c r="BP8" i="5"/>
  <c r="BP9" i="5" s="1"/>
  <c r="BG19" i="6"/>
  <c r="BU8" i="5"/>
  <c r="BU9" i="5" s="1"/>
  <c r="K22" i="6"/>
  <c r="AA42" i="5"/>
  <c r="AA43" i="5" s="1"/>
  <c r="AC26" i="6"/>
  <c r="AQ29" i="5"/>
  <c r="AQ30" i="5" s="1"/>
  <c r="BO26" i="6"/>
  <c r="CC29" i="5"/>
  <c r="CC30" i="5" s="1"/>
  <c r="U26" i="6"/>
  <c r="AI29" i="5"/>
  <c r="AI30" i="5" s="1"/>
  <c r="BG26" i="6"/>
  <c r="BU29" i="5"/>
  <c r="BU30" i="5" s="1"/>
  <c r="AB26" i="6"/>
  <c r="AP29" i="5"/>
  <c r="AP30" i="5" s="1"/>
  <c r="AQ26" i="6"/>
  <c r="BE29" i="5"/>
  <c r="BE30" i="5" s="1"/>
  <c r="BB26" i="6"/>
  <c r="BP29" i="5"/>
  <c r="BP30" i="5" s="1"/>
  <c r="BM21" i="6"/>
  <c r="CA14" i="5"/>
  <c r="CA15" i="5" s="1"/>
  <c r="Y19" i="6"/>
  <c r="AM8" i="5"/>
  <c r="AM9" i="5" s="1"/>
  <c r="AV42" i="5"/>
  <c r="AV43" i="5" s="1"/>
  <c r="AE18" i="6"/>
  <c r="AS42" i="5"/>
  <c r="AS43" i="5" s="1"/>
  <c r="AS5" i="5"/>
  <c r="AS6" i="5" s="1"/>
  <c r="AJ18" i="6"/>
  <c r="AX42" i="5"/>
  <c r="AX43" i="5" s="1"/>
  <c r="AX5" i="5"/>
  <c r="AX6" i="5" s="1"/>
  <c r="AJ21" i="6"/>
  <c r="AX14" i="5"/>
  <c r="AX15" i="5" s="1"/>
  <c r="AN21" i="6"/>
  <c r="BB14" i="5"/>
  <c r="BB15" i="5" s="1"/>
  <c r="AW21" i="6"/>
  <c r="BK14" i="5"/>
  <c r="BK15" i="5" s="1"/>
  <c r="AW18" i="6"/>
  <c r="BK42" i="5"/>
  <c r="BK43" i="5" s="1"/>
  <c r="BK5" i="5"/>
  <c r="BK6" i="5" s="1"/>
  <c r="O26" i="6"/>
  <c r="U19" i="6"/>
  <c r="AI8" i="5"/>
  <c r="AI9" i="5" s="1"/>
  <c r="X18" i="6"/>
  <c r="AO24" i="7"/>
  <c r="AO40" i="1" s="1"/>
  <c r="AZ24" i="7"/>
  <c r="AZ40" i="1" s="1"/>
  <c r="BD24" i="7"/>
  <c r="BD40" i="1" s="1"/>
  <c r="D18" i="1"/>
  <c r="AB29" i="6"/>
  <c r="AP38" i="5"/>
  <c r="AP39" i="5" s="1"/>
  <c r="BJ29" i="6"/>
  <c r="BX38" i="5"/>
  <c r="BX39" i="5" s="1"/>
  <c r="H29" i="6"/>
  <c r="V38" i="5"/>
  <c r="V39" i="5" s="1"/>
  <c r="BJ28" i="6"/>
  <c r="BX35" i="5"/>
  <c r="BX36" i="5" s="1"/>
  <c r="BD28" i="6"/>
  <c r="BR35" i="5"/>
  <c r="BR36" i="5" s="1"/>
  <c r="BE28" i="6"/>
  <c r="BS35" i="5"/>
  <c r="BS36" i="5" s="1"/>
  <c r="AE28" i="6"/>
  <c r="AS35" i="5"/>
  <c r="AS36" i="5" s="1"/>
  <c r="M27" i="6"/>
  <c r="AA32" i="5"/>
  <c r="AA33" i="5" s="1"/>
  <c r="AK25" i="6"/>
  <c r="AY26" i="5"/>
  <c r="AY27" i="5" s="1"/>
  <c r="Z22" i="6"/>
  <c r="AN17" i="5"/>
  <c r="AN18" i="5" s="1"/>
  <c r="BM29" i="6"/>
  <c r="V25" i="6"/>
  <c r="AJ26" i="5"/>
  <c r="AJ27" i="5" s="1"/>
  <c r="BK25" i="6"/>
  <c r="BY26" i="5"/>
  <c r="BY27" i="5" s="1"/>
  <c r="U22" i="6"/>
  <c r="AI17" i="5"/>
  <c r="AI18" i="5" s="1"/>
  <c r="I24" i="6"/>
  <c r="W23" i="5"/>
  <c r="W24" i="5" s="1"/>
  <c r="AT22" i="6"/>
  <c r="S24" i="6"/>
  <c r="AG23" i="5"/>
  <c r="AG24" i="5" s="1"/>
  <c r="AP24" i="6"/>
  <c r="AI24" i="6"/>
  <c r="AW23" i="5"/>
  <c r="AW24" i="5" s="1"/>
  <c r="AX24" i="6"/>
  <c r="BL23" i="5"/>
  <c r="BL24" i="5" s="1"/>
  <c r="AV24" i="6"/>
  <c r="BJ23" i="5"/>
  <c r="BJ24" i="5" s="1"/>
  <c r="N24" i="6"/>
  <c r="AB23" i="5"/>
  <c r="AB24" i="5" s="1"/>
  <c r="AD22" i="6"/>
  <c r="BI24" i="6"/>
  <c r="BW23" i="5"/>
  <c r="BW24" i="5" s="1"/>
  <c r="AB23" i="6"/>
  <c r="AP20" i="5"/>
  <c r="AP21" i="5" s="1"/>
  <c r="Y23" i="6"/>
  <c r="AM20" i="5"/>
  <c r="AM21" i="5" s="1"/>
  <c r="U20" i="6"/>
  <c r="AI11" i="5"/>
  <c r="AI12" i="5" s="1"/>
  <c r="AD20" i="6"/>
  <c r="CA46" i="5"/>
  <c r="CA47" i="5" s="1"/>
  <c r="AS46" i="5"/>
  <c r="AS47" i="5" s="1"/>
  <c r="BD46" i="5"/>
  <c r="BD47" i="5" s="1"/>
  <c r="BE46" i="5"/>
  <c r="BE47" i="5" s="1"/>
  <c r="BJ19" i="6"/>
  <c r="BX8" i="5"/>
  <c r="BX9" i="5" s="1"/>
  <c r="BO19" i="6"/>
  <c r="CC8" i="5"/>
  <c r="CC9" i="5" s="1"/>
  <c r="AO26" i="6"/>
  <c r="BC29" i="5"/>
  <c r="BC30" i="5" s="1"/>
  <c r="H26" i="6"/>
  <c r="V29" i="5"/>
  <c r="V30" i="5" s="1"/>
  <c r="AG26" i="6"/>
  <c r="AU29" i="5"/>
  <c r="AU30" i="5" s="1"/>
  <c r="L26" i="6"/>
  <c r="Z29" i="5"/>
  <c r="Z30" i="5" s="1"/>
  <c r="AK26" i="6"/>
  <c r="AY29" i="5"/>
  <c r="AY30" i="5" s="1"/>
  <c r="AZ26" i="6"/>
  <c r="BN29" i="5"/>
  <c r="BN30" i="5" s="1"/>
  <c r="BJ26" i="6"/>
  <c r="BX29" i="5"/>
  <c r="BX30" i="5" s="1"/>
  <c r="AU21" i="6"/>
  <c r="BI14" i="5"/>
  <c r="BI15" i="5" s="1"/>
  <c r="O19" i="6"/>
  <c r="AC8" i="5"/>
  <c r="AC9" i="5" s="1"/>
  <c r="AX18" i="6"/>
  <c r="BL42" i="5"/>
  <c r="BL43" i="5" s="1"/>
  <c r="BL5" i="5"/>
  <c r="BL6" i="5" s="1"/>
  <c r="AH18" i="6"/>
  <c r="AM18" i="6"/>
  <c r="BA42" i="5"/>
  <c r="BA43" i="5" s="1"/>
  <c r="BA5" i="5"/>
  <c r="BA6" i="5" s="1"/>
  <c r="AR18" i="6"/>
  <c r="BF42" i="5"/>
  <c r="BF43" i="5" s="1"/>
  <c r="BF5" i="5"/>
  <c r="BF6" i="5" s="1"/>
  <c r="BN18" i="6"/>
  <c r="BE21" i="6"/>
  <c r="BS14" i="5"/>
  <c r="BS15" i="5" s="1"/>
  <c r="AR21" i="6"/>
  <c r="BF14" i="5"/>
  <c r="BF15" i="5" s="1"/>
  <c r="AV21" i="6"/>
  <c r="BJ14" i="5"/>
  <c r="BJ15" i="5" s="1"/>
  <c r="BH21" i="6"/>
  <c r="BV14" i="5"/>
  <c r="BV15" i="5" s="1"/>
  <c r="AL18" i="6"/>
  <c r="AZ42" i="5"/>
  <c r="AZ43" i="5" s="1"/>
  <c r="AZ5" i="5"/>
  <c r="AZ6" i="5" s="1"/>
  <c r="J19" i="6"/>
  <c r="X8" i="5"/>
  <c r="X9" i="5"/>
  <c r="BK26" i="6"/>
  <c r="AN19" i="6"/>
  <c r="BF24" i="7"/>
  <c r="BF40" i="1" s="1"/>
  <c r="S24" i="7"/>
  <c r="S40" i="1" s="1"/>
  <c r="AX24" i="7"/>
  <c r="AX40" i="1" s="1"/>
  <c r="BI24" i="7"/>
  <c r="BI40" i="1" s="1"/>
  <c r="C5" i="7"/>
  <c r="C7" i="7" s="1"/>
  <c r="C9" i="7"/>
  <c r="D4" i="7" s="1"/>
  <c r="Q29" i="6"/>
  <c r="AE38" i="5"/>
  <c r="AE39" i="5" s="1"/>
  <c r="O29" i="6"/>
  <c r="AC38" i="5"/>
  <c r="AC39" i="5" s="1"/>
  <c r="P29" i="6"/>
  <c r="AD38" i="5"/>
  <c r="AD39" i="5" s="1"/>
  <c r="AY28" i="6"/>
  <c r="BM35" i="5"/>
  <c r="BM36" i="5" s="1"/>
  <c r="BL28" i="6"/>
  <c r="BZ35" i="5"/>
  <c r="BZ36" i="5" s="1"/>
  <c r="BM28" i="6"/>
  <c r="CA35" i="5"/>
  <c r="CA36" i="5" s="1"/>
  <c r="V28" i="6"/>
  <c r="AJ35" i="5"/>
  <c r="AJ36" i="5" s="1"/>
  <c r="AB25" i="6"/>
  <c r="AP26" i="5"/>
  <c r="AP27" i="5" s="1"/>
  <c r="R22" i="6"/>
  <c r="AF17" i="5"/>
  <c r="AF18" i="5" s="1"/>
  <c r="M25" i="6"/>
  <c r="AA26" i="5"/>
  <c r="AA27" i="5" s="1"/>
  <c r="M22" i="6"/>
  <c r="AA17" i="5"/>
  <c r="AA18" i="5" s="1"/>
  <c r="AQ29" i="6"/>
  <c r="I29" i="6"/>
  <c r="AN25" i="6"/>
  <c r="BM24" i="6"/>
  <c r="CA23" i="5"/>
  <c r="CA24" i="5" s="1"/>
  <c r="AR24" i="6"/>
  <c r="BF23" i="5"/>
  <c r="BF24" i="5" s="1"/>
  <c r="BG24" i="6"/>
  <c r="BU23" i="5"/>
  <c r="BU24" i="5" s="1"/>
  <c r="BD24" i="6"/>
  <c r="BR23" i="5"/>
  <c r="BR24" i="5" s="1"/>
  <c r="X25" i="6"/>
  <c r="AW24" i="6"/>
  <c r="BK23" i="5"/>
  <c r="BK24" i="5" s="1"/>
  <c r="BF23" i="6"/>
  <c r="BT20" i="5"/>
  <c r="BT21" i="5" s="1"/>
  <c r="AJ23" i="6"/>
  <c r="AX20" i="5"/>
  <c r="AX21" i="5" s="1"/>
  <c r="AG23" i="6"/>
  <c r="AU20" i="5"/>
  <c r="AU21" i="5" s="1"/>
  <c r="M20" i="6"/>
  <c r="AA11" i="5"/>
  <c r="AA12" i="5" s="1"/>
  <c r="AT24" i="6"/>
  <c r="BN21" i="6"/>
  <c r="CB14" i="5"/>
  <c r="CB15" i="5" s="1"/>
  <c r="AM46" i="5"/>
  <c r="AM47" i="5" s="1"/>
  <c r="AZ46" i="5"/>
  <c r="AZ47" i="5" s="1"/>
  <c r="BG46" i="5"/>
  <c r="BG47" i="5" s="1"/>
  <c r="AU46" i="5"/>
  <c r="AU47" i="5" s="1"/>
  <c r="BM46" i="5"/>
  <c r="BM47" i="5" s="1"/>
  <c r="AU19" i="6"/>
  <c r="BI8" i="5"/>
  <c r="BI9" i="5" s="1"/>
  <c r="K19" i="6"/>
  <c r="Y8" i="5"/>
  <c r="Y9" i="5" s="1"/>
  <c r="BA26" i="6"/>
  <c r="BO29" i="5"/>
  <c r="BO30" i="5" s="1"/>
  <c r="T26" i="6"/>
  <c r="AH29" i="5"/>
  <c r="AH30" i="5" s="1"/>
  <c r="AS26" i="6"/>
  <c r="BG29" i="5"/>
  <c r="BG30" i="5" s="1"/>
  <c r="X26" i="6"/>
  <c r="AL29" i="5"/>
  <c r="AL30" i="5" s="1"/>
  <c r="AU26" i="6"/>
  <c r="BI29" i="5"/>
  <c r="BI30" i="5" s="1"/>
  <c r="BI26" i="6"/>
  <c r="BW29" i="5"/>
  <c r="BW30" i="5" s="1"/>
  <c r="AI21" i="6"/>
  <c r="AW14" i="5"/>
  <c r="AW15" i="5" s="1"/>
  <c r="AI18" i="6"/>
  <c r="AW42" i="5"/>
  <c r="AW43" i="5" s="1"/>
  <c r="AW5" i="5"/>
  <c r="AW6" i="5" s="1"/>
  <c r="AY18" i="6"/>
  <c r="BM42" i="5"/>
  <c r="BM43" i="5" s="1"/>
  <c r="BM5" i="5"/>
  <c r="BM6" i="5" s="1"/>
  <c r="H18" i="6"/>
  <c r="V42" i="5"/>
  <c r="V43" i="5" s="1"/>
  <c r="V5" i="5"/>
  <c r="V6" i="5" s="1"/>
  <c r="AH23" i="6"/>
  <c r="AU18" i="6"/>
  <c r="BI42" i="5"/>
  <c r="BI43" i="5" s="1"/>
  <c r="BI5" i="5"/>
  <c r="BI6" i="5" s="1"/>
  <c r="AZ18" i="6"/>
  <c r="BN42" i="5"/>
  <c r="BN43" i="5" s="1"/>
  <c r="BN5" i="5"/>
  <c r="BN6" i="5" s="1"/>
  <c r="AQ21" i="6"/>
  <c r="BE14" i="5"/>
  <c r="BE15" i="5" s="1"/>
  <c r="BA21" i="6"/>
  <c r="BO14" i="5"/>
  <c r="BO15" i="5" s="1"/>
  <c r="BF21" i="6"/>
  <c r="BT14" i="5"/>
  <c r="BT15" i="5" s="1"/>
  <c r="BB21" i="6"/>
  <c r="BP14" i="5"/>
  <c r="BP15" i="5" s="1"/>
  <c r="BM19" i="6"/>
  <c r="CA8" i="5"/>
  <c r="CA9" i="5" s="1"/>
  <c r="AA18" i="6"/>
  <c r="AO42" i="5"/>
  <c r="AO43" i="5" s="1"/>
  <c r="AO5" i="5"/>
  <c r="AO6" i="5" s="1"/>
  <c r="BF24" i="6"/>
  <c r="BF18" i="6"/>
  <c r="BT42" i="5"/>
  <c r="BT43" i="5" s="1"/>
  <c r="BT5" i="5"/>
  <c r="BT6" i="5" s="1"/>
  <c r="U24" i="6"/>
  <c r="AE19" i="6"/>
  <c r="AK24" i="7"/>
  <c r="AK40" i="1" s="1"/>
  <c r="AW29" i="6"/>
  <c r="O25" i="6"/>
  <c r="AC26" i="5"/>
  <c r="AC27" i="5" s="1"/>
  <c r="AZ24" i="6"/>
  <c r="BN23" i="5"/>
  <c r="BN24" i="5" s="1"/>
  <c r="BA24" i="6"/>
  <c r="BO23" i="5"/>
  <c r="BO24" i="5" s="1"/>
  <c r="CD23" i="5"/>
  <c r="CD24" i="5" s="1"/>
  <c r="BL24" i="6"/>
  <c r="BZ23" i="5"/>
  <c r="BZ24" i="5" s="1"/>
  <c r="AY22" i="6"/>
  <c r="Z28" i="6"/>
  <c r="AK24" i="6"/>
  <c r="AY23" i="5"/>
  <c r="AY24" i="5" s="1"/>
  <c r="AU23" i="6"/>
  <c r="BI20" i="5"/>
  <c r="BI21" i="5" s="1"/>
  <c r="AR23" i="6"/>
  <c r="BF20" i="5"/>
  <c r="BF21" i="5" s="1"/>
  <c r="AO23" i="6"/>
  <c r="BC20" i="5"/>
  <c r="BC21" i="5" s="1"/>
  <c r="AX21" i="6"/>
  <c r="BL14" i="5"/>
  <c r="BL15" i="5" s="1"/>
  <c r="BM18" i="6"/>
  <c r="CA5" i="5"/>
  <c r="CA6" i="5" s="1"/>
  <c r="CA42" i="5"/>
  <c r="CA43" i="5" s="1"/>
  <c r="BO46" i="5"/>
  <c r="BO47" i="5" s="1"/>
  <c r="BY46" i="5"/>
  <c r="BY47" i="5" s="1"/>
  <c r="BJ46" i="5"/>
  <c r="BJ47" i="5" s="1"/>
  <c r="BR46" i="5"/>
  <c r="BR47" i="5" s="1"/>
  <c r="BI46" i="5"/>
  <c r="BI47" i="5" s="1"/>
  <c r="BT46" i="5"/>
  <c r="BT47" i="5" s="1"/>
  <c r="BU46" i="5"/>
  <c r="BU47" i="5" s="1"/>
  <c r="N19" i="6"/>
  <c r="AB8" i="5"/>
  <c r="AB9" i="5" s="1"/>
  <c r="S19" i="6"/>
  <c r="AG8" i="5"/>
  <c r="AG9" i="5" s="1"/>
  <c r="BN26" i="6"/>
  <c r="CB29" i="5"/>
  <c r="CB30" i="5" s="1"/>
  <c r="AF26" i="6"/>
  <c r="AT29" i="5"/>
  <c r="AT30" i="5" s="1"/>
  <c r="BF26" i="6"/>
  <c r="BT29" i="5"/>
  <c r="BT30" i="5" s="1"/>
  <c r="AJ26" i="6"/>
  <c r="AX29" i="5"/>
  <c r="AX30" i="5" s="1"/>
  <c r="BD26" i="6"/>
  <c r="BR29" i="5"/>
  <c r="BR30" i="5" s="1"/>
  <c r="N26" i="6"/>
  <c r="AB29" i="5"/>
  <c r="AB30" i="5" s="1"/>
  <c r="BN23" i="6"/>
  <c r="V21" i="6"/>
  <c r="AJ14" i="5"/>
  <c r="AJ15" i="5" s="1"/>
  <c r="AL22" i="6"/>
  <c r="AD18" i="6"/>
  <c r="AR42" i="5"/>
  <c r="AR43" i="5" s="1"/>
  <c r="AR5" i="5"/>
  <c r="AR6" i="5" s="1"/>
  <c r="E30" i="6"/>
  <c r="E31" i="6" s="1"/>
  <c r="BC18" i="6"/>
  <c r="BQ42" i="5"/>
  <c r="BQ43" i="5" s="1"/>
  <c r="BQ5" i="5"/>
  <c r="BQ6" i="5" s="1"/>
  <c r="BH18" i="6"/>
  <c r="BV42" i="5"/>
  <c r="BV43" i="5" s="1"/>
  <c r="BV5" i="5"/>
  <c r="BV6" i="5" s="1"/>
  <c r="N20" i="6"/>
  <c r="Z26" i="6"/>
  <c r="BH24" i="6"/>
  <c r="AD21" i="6"/>
  <c r="AR14" i="5"/>
  <c r="AR15" i="5" s="1"/>
  <c r="BL21" i="6"/>
  <c r="BZ14" i="5"/>
  <c r="BZ15" i="5" s="1"/>
  <c r="I21" i="6"/>
  <c r="W14" i="5"/>
  <c r="W15" i="5" s="1"/>
  <c r="BJ21" i="6"/>
  <c r="BX14" i="5"/>
  <c r="BX15" i="5" s="1"/>
  <c r="BC19" i="6"/>
  <c r="BQ8" i="5"/>
  <c r="BQ9" i="5" s="1"/>
  <c r="Q18" i="6"/>
  <c r="AE42" i="5"/>
  <c r="AE43" i="5" s="1"/>
  <c r="AE5" i="5"/>
  <c r="AE6" i="5" s="1"/>
  <c r="AV18" i="6"/>
  <c r="BJ42" i="5"/>
  <c r="BJ43" i="5" s="1"/>
  <c r="BJ5" i="5"/>
  <c r="BJ6" i="5" s="1"/>
  <c r="J24" i="7"/>
  <c r="J40" i="1" s="1"/>
  <c r="N29" i="6"/>
  <c r="AB38" i="5"/>
  <c r="AB39" i="5" s="1"/>
  <c r="X29" i="6"/>
  <c r="AL38" i="5"/>
  <c r="AL39" i="5" s="1"/>
  <c r="AP28" i="6"/>
  <c r="BD35" i="5"/>
  <c r="BD36" i="5" s="1"/>
  <c r="I28" i="6"/>
  <c r="W35" i="5"/>
  <c r="W36" i="5" s="1"/>
  <c r="AZ29" i="6"/>
  <c r="BN38" i="5"/>
  <c r="BN39" i="5" s="1"/>
  <c r="M28" i="6"/>
  <c r="AA35" i="5"/>
  <c r="AA36" i="5" s="1"/>
  <c r="S25" i="6"/>
  <c r="AG26" i="5"/>
  <c r="AG27" i="5" s="1"/>
  <c r="C24" i="7"/>
  <c r="C40" i="1" s="1"/>
  <c r="C14" i="7"/>
  <c r="C16" i="7" s="1"/>
  <c r="AJ24" i="7"/>
  <c r="AJ40" i="1" s="1"/>
  <c r="BC24" i="7"/>
  <c r="BC40" i="1" s="1"/>
  <c r="AT24" i="7"/>
  <c r="AT40" i="1" s="1"/>
  <c r="R24" i="7"/>
  <c r="R40" i="1" s="1"/>
  <c r="I24" i="7"/>
  <c r="I40" i="1" s="1"/>
  <c r="BF25" i="1"/>
  <c r="G18" i="8" s="1"/>
  <c r="V29" i="6"/>
  <c r="AJ38" i="5"/>
  <c r="AJ39" i="5" s="1"/>
  <c r="AE29" i="6"/>
  <c r="AS38" i="5"/>
  <c r="AS39" i="5" s="1"/>
  <c r="AF29" i="6"/>
  <c r="AT38" i="5"/>
  <c r="AT39" i="5" s="1"/>
  <c r="AF28" i="6"/>
  <c r="AT35" i="5"/>
  <c r="AT36" i="5" s="1"/>
  <c r="Q28" i="6"/>
  <c r="AE35" i="5"/>
  <c r="AE36" i="5" s="1"/>
  <c r="AO29" i="6"/>
  <c r="BC38" i="5"/>
  <c r="BC39" i="5" s="1"/>
  <c r="BA27" i="6"/>
  <c r="BO32" i="5"/>
  <c r="BO33" i="5" s="1"/>
  <c r="J25" i="6"/>
  <c r="X26" i="5"/>
  <c r="X27" i="5" s="1"/>
  <c r="CD26" i="5"/>
  <c r="CD27" i="5" s="1"/>
  <c r="W25" i="6"/>
  <c r="AK26" i="5"/>
  <c r="AK27" i="5" s="1"/>
  <c r="BI22" i="6"/>
  <c r="BW17" i="5"/>
  <c r="BW18" i="5" s="1"/>
  <c r="AP25" i="6"/>
  <c r="AI22" i="6"/>
  <c r="BL25" i="6"/>
  <c r="V22" i="6"/>
  <c r="AM24" i="6"/>
  <c r="BA23" i="5"/>
  <c r="BA24" i="5" s="1"/>
  <c r="BJ24" i="6"/>
  <c r="BX23" i="5"/>
  <c r="BX24" i="5" s="1"/>
  <c r="H24" i="6"/>
  <c r="V23" i="5"/>
  <c r="V24" i="5" s="1"/>
  <c r="AZ28" i="6"/>
  <c r="K25" i="6"/>
  <c r="S22" i="6"/>
  <c r="Y24" i="6"/>
  <c r="AM23" i="5"/>
  <c r="AM24" i="5" s="1"/>
  <c r="AK23" i="6"/>
  <c r="AY20" i="5"/>
  <c r="AY21" i="5" s="1"/>
  <c r="AZ23" i="6"/>
  <c r="BN20" i="5"/>
  <c r="BN21" i="5" s="1"/>
  <c r="AW23" i="6"/>
  <c r="BK20" i="5"/>
  <c r="BK21" i="5" s="1"/>
  <c r="AK21" i="6"/>
  <c r="AY14" i="5"/>
  <c r="AY15" i="5" s="1"/>
  <c r="BH19" i="6"/>
  <c r="BV8" i="5"/>
  <c r="BV9" i="5" s="1"/>
  <c r="BB18" i="6"/>
  <c r="BP42" i="5"/>
  <c r="BP43" i="5" s="1"/>
  <c r="BP5" i="5"/>
  <c r="BP6" i="5" s="1"/>
  <c r="AV19" i="6"/>
  <c r="BJ8" i="5"/>
  <c r="BJ9" i="5" s="1"/>
  <c r="BL18" i="6"/>
  <c r="BZ42" i="5"/>
  <c r="BZ43" i="5" s="1"/>
  <c r="BZ5" i="5"/>
  <c r="BZ6" i="5" s="1"/>
  <c r="AQ46" i="5"/>
  <c r="AQ47" i="5" s="1"/>
  <c r="AB46" i="5"/>
  <c r="AB47" i="5" s="1"/>
  <c r="AD46" i="5"/>
  <c r="AD47" i="5" s="1"/>
  <c r="AI46" i="5"/>
  <c r="AI47" i="5" s="1"/>
  <c r="BW46" i="5"/>
  <c r="BW47" i="5" s="1"/>
  <c r="CB46" i="5"/>
  <c r="CB47" i="5" s="1"/>
  <c r="CC46" i="5"/>
  <c r="CC47" i="5" s="1"/>
  <c r="CD46" i="5"/>
  <c r="CD47" i="5" s="1"/>
  <c r="CD45" i="5" s="1"/>
  <c r="V19" i="6"/>
  <c r="AJ8" i="5"/>
  <c r="AJ9" i="5" s="1"/>
  <c r="AA19" i="6"/>
  <c r="AO8" i="5"/>
  <c r="AO9" i="5" s="1"/>
  <c r="R26" i="6"/>
  <c r="AF29" i="5"/>
  <c r="AF30" i="5" s="1"/>
  <c r="AR26" i="6"/>
  <c r="BF29" i="5"/>
  <c r="BF30" i="5" s="1"/>
  <c r="K26" i="6"/>
  <c r="Y29" i="5"/>
  <c r="Y30" i="5" s="1"/>
  <c r="AW26" i="6"/>
  <c r="BK29" i="5"/>
  <c r="BK30" i="5" s="1"/>
  <c r="BM26" i="6"/>
  <c r="CA29" i="5"/>
  <c r="CA30" i="5" s="1"/>
  <c r="V26" i="6"/>
  <c r="AJ29" i="5"/>
  <c r="AJ30" i="5" s="1"/>
  <c r="J21" i="6"/>
  <c r="X14" i="5"/>
  <c r="X15" i="5" s="1"/>
  <c r="J18" i="6"/>
  <c r="X42" i="5"/>
  <c r="X43" i="5" s="1"/>
  <c r="X5" i="5"/>
  <c r="X6" i="5" s="1"/>
  <c r="AJ24" i="6"/>
  <c r="BG22" i="6"/>
  <c r="I18" i="6"/>
  <c r="W42" i="5"/>
  <c r="W43" i="5" s="1"/>
  <c r="W5" i="5"/>
  <c r="W6" i="5" s="1"/>
  <c r="AE21" i="6"/>
  <c r="AN18" i="6"/>
  <c r="BB42" i="5"/>
  <c r="BB43" i="5" s="1"/>
  <c r="BB5" i="5"/>
  <c r="BB6" i="5" s="1"/>
  <c r="AZ19" i="6"/>
  <c r="BK18" i="6"/>
  <c r="BY42" i="5"/>
  <c r="BY43" i="5" s="1"/>
  <c r="BY5" i="5"/>
  <c r="BY6" i="5" s="1"/>
  <c r="CD42" i="5"/>
  <c r="CD43" i="5" s="1"/>
  <c r="CD5" i="5"/>
  <c r="CD6" i="5" s="1"/>
  <c r="BI19" i="6"/>
  <c r="R21" i="6"/>
  <c r="AF14" i="5"/>
  <c r="AF15" i="5" s="1"/>
  <c r="X21" i="6"/>
  <c r="AL14" i="5"/>
  <c r="AL15" i="5" s="1"/>
  <c r="Q21" i="6"/>
  <c r="AE14" i="5"/>
  <c r="AE15" i="5" s="1"/>
  <c r="AY21" i="6"/>
  <c r="BM14" i="5"/>
  <c r="BM15" i="5" s="1"/>
  <c r="AR19" i="6"/>
  <c r="BF8" i="5"/>
  <c r="BF9" i="5" s="1"/>
  <c r="AG25" i="6"/>
  <c r="AP21" i="6"/>
  <c r="BD14" i="5"/>
  <c r="BD15" i="5" s="1"/>
  <c r="BL19" i="6"/>
  <c r="BZ8" i="5"/>
  <c r="BZ9" i="5" s="1"/>
  <c r="AK18" i="6"/>
  <c r="AY42" i="5"/>
  <c r="AY43" i="5" s="1"/>
  <c r="AY5" i="5"/>
  <c r="AY6" i="5" s="1"/>
  <c r="Y18" i="6"/>
  <c r="AM42" i="5"/>
  <c r="AM43" i="5" s="1"/>
  <c r="AM5" i="5"/>
  <c r="AM6" i="5" s="1"/>
  <c r="BG42" i="5"/>
  <c r="BG43" i="5" s="1"/>
  <c r="AE35" i="1" l="1"/>
  <c r="N35" i="1"/>
  <c r="AQ35" i="1"/>
  <c r="O35" i="1"/>
  <c r="C35" i="1"/>
  <c r="AK35" i="1"/>
  <c r="AI35" i="1"/>
  <c r="AF35" i="1"/>
  <c r="G35" i="1"/>
  <c r="BJ35" i="1"/>
  <c r="BH35" i="1"/>
  <c r="AA35" i="1"/>
  <c r="H35" i="1"/>
  <c r="K35" i="1"/>
  <c r="BB35" i="1"/>
  <c r="AZ35" i="1"/>
  <c r="S35" i="1"/>
  <c r="X35" i="1"/>
  <c r="F35" i="1"/>
  <c r="BD35" i="1"/>
  <c r="AL35" i="1"/>
  <c r="AC35" i="1"/>
  <c r="T35" i="1"/>
  <c r="BF35" i="1"/>
  <c r="BC35" i="1"/>
  <c r="E35" i="1"/>
  <c r="AV35" i="1"/>
  <c r="AD35" i="1"/>
  <c r="U35" i="1"/>
  <c r="L35" i="1"/>
  <c r="AX35" i="1"/>
  <c r="AU35" i="1"/>
  <c r="D35" i="1"/>
  <c r="AN35" i="1"/>
  <c r="V35" i="1"/>
  <c r="M35" i="1"/>
  <c r="BG35" i="1"/>
  <c r="AC43" i="6"/>
  <c r="Z43" i="6"/>
  <c r="E43" i="6"/>
  <c r="N43" i="6" s="1"/>
  <c r="BI43" i="6"/>
  <c r="BE43" i="6"/>
  <c r="AI43" i="6"/>
  <c r="AW39" i="6"/>
  <c r="BF39" i="6"/>
  <c r="AN39" i="6"/>
  <c r="R39" i="6"/>
  <c r="AB39" i="6"/>
  <c r="S39" i="6"/>
  <c r="O39" i="6"/>
  <c r="AV39" i="6"/>
  <c r="AJ39" i="6"/>
  <c r="U39" i="6"/>
  <c r="BD39" i="6"/>
  <c r="P39" i="6"/>
  <c r="K39" i="6"/>
  <c r="BJ39" i="6"/>
  <c r="P43" i="6"/>
  <c r="T43" i="6"/>
  <c r="Y43" i="6"/>
  <c r="M43" i="6"/>
  <c r="AJ43" i="6"/>
  <c r="W43" i="6"/>
  <c r="S43" i="6"/>
  <c r="R43" i="6"/>
  <c r="AS39" i="6"/>
  <c r="M39" i="6"/>
  <c r="BH39" i="6"/>
  <c r="AP39" i="6"/>
  <c r="BO39" i="6"/>
  <c r="BK39" i="6"/>
  <c r="BB39" i="6"/>
  <c r="AN43" i="6"/>
  <c r="BA43" i="6"/>
  <c r="H43" i="6"/>
  <c r="BJ43" i="6"/>
  <c r="V43" i="6"/>
  <c r="O43" i="6"/>
  <c r="K43" i="6"/>
  <c r="J43" i="6"/>
  <c r="E39" i="6"/>
  <c r="N39" i="6" s="1"/>
  <c r="AG39" i="6"/>
  <c r="AZ39" i="6"/>
  <c r="AK39" i="6"/>
  <c r="AC39" i="6"/>
  <c r="BG39" i="6"/>
  <c r="BC39" i="6"/>
  <c r="AT39" i="6"/>
  <c r="AL43" i="6"/>
  <c r="Q43" i="6"/>
  <c r="BM43" i="6"/>
  <c r="AW43" i="6"/>
  <c r="I43" i="6"/>
  <c r="BO43" i="6"/>
  <c r="BN43" i="6"/>
  <c r="I39" i="6"/>
  <c r="Z39" i="6"/>
  <c r="AH39" i="6"/>
  <c r="T39" i="6"/>
  <c r="Q39" i="6"/>
  <c r="AY39" i="6"/>
  <c r="AU39" i="6"/>
  <c r="AL39" i="6"/>
  <c r="AG43" i="6"/>
  <c r="BH43" i="6"/>
  <c r="AT43" i="6"/>
  <c r="AK43" i="6"/>
  <c r="BK43" i="6"/>
  <c r="BK46" i="6" s="1"/>
  <c r="BF27" i="1" s="1"/>
  <c r="BF28" i="1" s="1"/>
  <c r="BG43" i="6"/>
  <c r="BF43" i="6"/>
  <c r="BL39" i="6"/>
  <c r="H39" i="6"/>
  <c r="L39" i="6"/>
  <c r="BE39" i="6"/>
  <c r="BN39" i="6"/>
  <c r="AQ39" i="6"/>
  <c r="AM39" i="6"/>
  <c r="AD39" i="6"/>
  <c r="AF43" i="6"/>
  <c r="AR43" i="6"/>
  <c r="AD43" i="6"/>
  <c r="X43" i="6"/>
  <c r="BC43" i="6"/>
  <c r="AY43" i="6"/>
  <c r="AX43" i="6"/>
  <c r="J39" i="6"/>
  <c r="BM39" i="6"/>
  <c r="X39" i="6"/>
  <c r="AR39" i="6"/>
  <c r="BA39" i="6"/>
  <c r="AI39" i="6"/>
  <c r="AE39" i="6"/>
  <c r="BD43" i="6"/>
  <c r="AB43" i="6"/>
  <c r="BL43" i="6"/>
  <c r="L43" i="6"/>
  <c r="AU43" i="6"/>
  <c r="AQ43" i="6"/>
  <c r="O44" i="6"/>
  <c r="W44" i="6"/>
  <c r="P44" i="6"/>
  <c r="X44" i="6"/>
  <c r="AF44" i="6"/>
  <c r="AN44" i="6"/>
  <c r="L44" i="6"/>
  <c r="T44" i="6"/>
  <c r="AB44" i="6"/>
  <c r="AA44" i="6"/>
  <c r="AK44" i="6"/>
  <c r="AT44" i="6"/>
  <c r="BB44" i="6"/>
  <c r="BJ44" i="6"/>
  <c r="Q44" i="6"/>
  <c r="AC44" i="6"/>
  <c r="AL44" i="6"/>
  <c r="AU44" i="6"/>
  <c r="BC44" i="6"/>
  <c r="BK44" i="6"/>
  <c r="U44" i="6"/>
  <c r="AI44" i="6"/>
  <c r="AV44" i="6"/>
  <c r="BF44" i="6"/>
  <c r="H44" i="6"/>
  <c r="V44" i="6"/>
  <c r="AJ44" i="6"/>
  <c r="AW44" i="6"/>
  <c r="BG44" i="6"/>
  <c r="R44" i="6"/>
  <c r="AG44" i="6"/>
  <c r="AR44" i="6"/>
  <c r="BD44" i="6"/>
  <c r="BN44" i="6"/>
  <c r="S44" i="6"/>
  <c r="AH44" i="6"/>
  <c r="AS44" i="6"/>
  <c r="BE44" i="6"/>
  <c r="BO44" i="6"/>
  <c r="Z44" i="6"/>
  <c r="AY44" i="6"/>
  <c r="AD44" i="6"/>
  <c r="AZ44" i="6"/>
  <c r="AE44" i="6"/>
  <c r="BA44" i="6"/>
  <c r="I44" i="6"/>
  <c r="AM44" i="6"/>
  <c r="BH44" i="6"/>
  <c r="J44" i="6"/>
  <c r="AO44" i="6"/>
  <c r="BI44" i="6"/>
  <c r="K44" i="6"/>
  <c r="AP44" i="6"/>
  <c r="AQ44" i="6"/>
  <c r="Y44" i="6"/>
  <c r="AX44" i="6"/>
  <c r="BL44" i="6"/>
  <c r="M44" i="6"/>
  <c r="BM44" i="6"/>
  <c r="E44" i="6"/>
  <c r="N44" i="6" s="1"/>
  <c r="I38" i="6"/>
  <c r="Q38" i="6"/>
  <c r="Y38" i="6"/>
  <c r="AG38" i="6"/>
  <c r="AO38" i="6"/>
  <c r="BE38" i="6"/>
  <c r="BM38" i="6"/>
  <c r="J38" i="6"/>
  <c r="R38" i="6"/>
  <c r="Z38" i="6"/>
  <c r="AH38" i="6"/>
  <c r="AP38" i="6"/>
  <c r="AX38" i="6"/>
  <c r="BF38" i="6"/>
  <c r="BN38" i="6"/>
  <c r="N38" i="6"/>
  <c r="V38" i="6"/>
  <c r="AD38" i="6"/>
  <c r="AL38" i="6"/>
  <c r="AT38" i="6"/>
  <c r="BB38" i="6"/>
  <c r="BJ38" i="6"/>
  <c r="K38" i="6"/>
  <c r="W38" i="6"/>
  <c r="AJ38" i="6"/>
  <c r="AV38" i="6"/>
  <c r="BI38" i="6"/>
  <c r="L38" i="6"/>
  <c r="X38" i="6"/>
  <c r="AK38" i="6"/>
  <c r="AY38" i="6"/>
  <c r="BK38" i="6"/>
  <c r="M38" i="6"/>
  <c r="AA38" i="6"/>
  <c r="AM38" i="6"/>
  <c r="AZ38" i="6"/>
  <c r="BL38" i="6"/>
  <c r="BL46" i="6" s="1"/>
  <c r="BG27" i="1" s="1"/>
  <c r="P38" i="6"/>
  <c r="AI38" i="6"/>
  <c r="BD38" i="6"/>
  <c r="S38" i="6"/>
  <c r="AN38" i="6"/>
  <c r="BG38" i="6"/>
  <c r="T38" i="6"/>
  <c r="AQ38" i="6"/>
  <c r="BH38" i="6"/>
  <c r="AE38" i="6"/>
  <c r="BA38" i="6"/>
  <c r="O38" i="6"/>
  <c r="AF38" i="6"/>
  <c r="BC38" i="6"/>
  <c r="AB38" i="6"/>
  <c r="AC38" i="6"/>
  <c r="H38" i="6"/>
  <c r="H46" i="6" s="1"/>
  <c r="C27" i="1" s="1"/>
  <c r="AR38" i="6"/>
  <c r="AS38" i="6"/>
  <c r="AU38" i="6"/>
  <c r="U38" i="6"/>
  <c r="BO38" i="6"/>
  <c r="E38" i="6" a="1"/>
  <c r="E38" i="6" s="1"/>
  <c r="AW38" i="6" s="1"/>
  <c r="O36" i="6"/>
  <c r="W36" i="6"/>
  <c r="AE36" i="6"/>
  <c r="AM36" i="6"/>
  <c r="AU36" i="6"/>
  <c r="BC36" i="6"/>
  <c r="BK36" i="6"/>
  <c r="P36" i="6"/>
  <c r="X36" i="6"/>
  <c r="AF36" i="6"/>
  <c r="AN36" i="6"/>
  <c r="AV36" i="6"/>
  <c r="BD36" i="6"/>
  <c r="BL36" i="6"/>
  <c r="L36" i="6"/>
  <c r="T36" i="6"/>
  <c r="AB36" i="6"/>
  <c r="AJ36" i="6"/>
  <c r="AR36" i="6"/>
  <c r="AZ36" i="6"/>
  <c r="BH36" i="6"/>
  <c r="M36" i="6"/>
  <c r="Z36" i="6"/>
  <c r="AL36" i="6"/>
  <c r="AY36" i="6"/>
  <c r="BM36" i="6"/>
  <c r="N36" i="6"/>
  <c r="AA36" i="6"/>
  <c r="AO36" i="6"/>
  <c r="BA36" i="6"/>
  <c r="BN36" i="6"/>
  <c r="Q36" i="6"/>
  <c r="AC36" i="6"/>
  <c r="AP36" i="6"/>
  <c r="AP46" i="6" s="1"/>
  <c r="AK27" i="1" s="1"/>
  <c r="BB36" i="6"/>
  <c r="J36" i="6"/>
  <c r="AG36" i="6"/>
  <c r="AX36" i="6"/>
  <c r="K36" i="6"/>
  <c r="AH36" i="6"/>
  <c r="BE36" i="6"/>
  <c r="R36" i="6"/>
  <c r="R46" i="6" s="1"/>
  <c r="M27" i="1" s="1"/>
  <c r="AI36" i="6"/>
  <c r="BF36" i="6"/>
  <c r="Y36" i="6"/>
  <c r="AT36" i="6"/>
  <c r="H36" i="6"/>
  <c r="I36" i="6"/>
  <c r="AD36" i="6"/>
  <c r="AW36" i="6"/>
  <c r="AK36" i="6"/>
  <c r="AQ36" i="6"/>
  <c r="AS36" i="6"/>
  <c r="BG36" i="6"/>
  <c r="BI36" i="6"/>
  <c r="S36" i="6"/>
  <c r="BJ36" i="6"/>
  <c r="U36" i="6"/>
  <c r="V36" i="6"/>
  <c r="E36" i="6" a="1"/>
  <c r="E36" i="6" s="1"/>
  <c r="BO36" i="6" s="1"/>
  <c r="P41" i="6"/>
  <c r="X41" i="6"/>
  <c r="AF41" i="6"/>
  <c r="AN41" i="6"/>
  <c r="AV41" i="6"/>
  <c r="BD41" i="6"/>
  <c r="BL41" i="6"/>
  <c r="I41" i="6"/>
  <c r="Q41" i="6"/>
  <c r="Y41" i="6"/>
  <c r="AG41" i="6"/>
  <c r="AO41" i="6"/>
  <c r="AW41" i="6"/>
  <c r="BE41" i="6"/>
  <c r="BM41" i="6"/>
  <c r="M41" i="6"/>
  <c r="U41" i="6"/>
  <c r="AC41" i="6"/>
  <c r="AK41" i="6"/>
  <c r="AS41" i="6"/>
  <c r="BA41" i="6"/>
  <c r="BI41" i="6"/>
  <c r="L41" i="6"/>
  <c r="Z41" i="6"/>
  <c r="AL41" i="6"/>
  <c r="AY41" i="6"/>
  <c r="BK41" i="6"/>
  <c r="AA41" i="6"/>
  <c r="AM41" i="6"/>
  <c r="AZ41" i="6"/>
  <c r="BN41" i="6"/>
  <c r="H41" i="6"/>
  <c r="O41" i="6"/>
  <c r="AB41" i="6"/>
  <c r="AP41" i="6"/>
  <c r="V41" i="6"/>
  <c r="AR41" i="6"/>
  <c r="BH41" i="6"/>
  <c r="W41" i="6"/>
  <c r="AT41" i="6"/>
  <c r="BJ41" i="6"/>
  <c r="S41" i="6"/>
  <c r="AJ41" i="6"/>
  <c r="BF41" i="6"/>
  <c r="T41" i="6"/>
  <c r="AQ41" i="6"/>
  <c r="BG41" i="6"/>
  <c r="AE41" i="6"/>
  <c r="AH41" i="6"/>
  <c r="AI41" i="6"/>
  <c r="AU41" i="6"/>
  <c r="J41" i="6"/>
  <c r="AX41" i="6"/>
  <c r="K41" i="6"/>
  <c r="BB41" i="6"/>
  <c r="BC41" i="6"/>
  <c r="AD41" i="6"/>
  <c r="BO41" i="6"/>
  <c r="R41" i="6"/>
  <c r="E41" i="6"/>
  <c r="N41" i="6" s="1"/>
  <c r="K40" i="6"/>
  <c r="S40" i="6"/>
  <c r="AA40" i="6"/>
  <c r="AA46" i="6" s="1"/>
  <c r="V27" i="1" s="1"/>
  <c r="AI40" i="6"/>
  <c r="AQ40" i="6"/>
  <c r="AY40" i="6"/>
  <c r="BG40" i="6"/>
  <c r="BO40" i="6"/>
  <c r="L40" i="6"/>
  <c r="T40" i="6"/>
  <c r="AB40" i="6"/>
  <c r="AJ40" i="6"/>
  <c r="AR40" i="6"/>
  <c r="AZ40" i="6"/>
  <c r="BH40" i="6"/>
  <c r="P40" i="6"/>
  <c r="X40" i="6"/>
  <c r="AF40" i="6"/>
  <c r="AN40" i="6"/>
  <c r="AV40" i="6"/>
  <c r="BD40" i="6"/>
  <c r="BL40" i="6"/>
  <c r="U40" i="6"/>
  <c r="AG40" i="6"/>
  <c r="AT40" i="6"/>
  <c r="BF40" i="6"/>
  <c r="I40" i="6"/>
  <c r="V40" i="6"/>
  <c r="AH40" i="6"/>
  <c r="AU40" i="6"/>
  <c r="BI40" i="6"/>
  <c r="J40" i="6"/>
  <c r="W40" i="6"/>
  <c r="AK40" i="6"/>
  <c r="AW40" i="6"/>
  <c r="BJ40" i="6"/>
  <c r="R40" i="6"/>
  <c r="AO40" i="6"/>
  <c r="BK40" i="6"/>
  <c r="Y40" i="6"/>
  <c r="AP40" i="6"/>
  <c r="BM40" i="6"/>
  <c r="O40" i="6"/>
  <c r="AL40" i="6"/>
  <c r="BC40" i="6"/>
  <c r="Q40" i="6"/>
  <c r="AM40" i="6"/>
  <c r="BE40" i="6"/>
  <c r="AX40" i="6"/>
  <c r="M40" i="6"/>
  <c r="BA40" i="6"/>
  <c r="BB40" i="6"/>
  <c r="Z40" i="6"/>
  <c r="BN40" i="6"/>
  <c r="AC40" i="6"/>
  <c r="AD40" i="6"/>
  <c r="AS40" i="6"/>
  <c r="H40" i="6"/>
  <c r="AE40" i="6"/>
  <c r="E40" i="6"/>
  <c r="N40" i="6" s="1"/>
  <c r="K34" i="6"/>
  <c r="S34" i="6"/>
  <c r="AA34" i="6"/>
  <c r="AI34" i="6"/>
  <c r="AQ34" i="6"/>
  <c r="AY34" i="6"/>
  <c r="BG34" i="6"/>
  <c r="BO34" i="6"/>
  <c r="L34" i="6"/>
  <c r="T34" i="6"/>
  <c r="AB34" i="6"/>
  <c r="AJ34" i="6"/>
  <c r="AJ46" i="6" s="1"/>
  <c r="AE27" i="1" s="1"/>
  <c r="AR34" i="6"/>
  <c r="AZ34" i="6"/>
  <c r="BH34" i="6"/>
  <c r="I34" i="6"/>
  <c r="M34" i="6"/>
  <c r="W34" i="6"/>
  <c r="W46" i="6" s="1"/>
  <c r="R27" i="1" s="1"/>
  <c r="AG34" i="6"/>
  <c r="AS34" i="6"/>
  <c r="BM34" i="6"/>
  <c r="N34" i="6"/>
  <c r="X34" i="6"/>
  <c r="X46" i="6" s="1"/>
  <c r="S27" i="1" s="1"/>
  <c r="AH34" i="6"/>
  <c r="AT34" i="6"/>
  <c r="BD34" i="6"/>
  <c r="BN34" i="6"/>
  <c r="U34" i="6"/>
  <c r="AE34" i="6"/>
  <c r="AO34" i="6"/>
  <c r="BA34" i="6"/>
  <c r="BK34" i="6"/>
  <c r="J34" i="6"/>
  <c r="V34" i="6"/>
  <c r="AF34" i="6"/>
  <c r="AP34" i="6"/>
  <c r="BB34" i="6"/>
  <c r="Z34" i="6"/>
  <c r="AV34" i="6"/>
  <c r="AV46" i="6" s="1"/>
  <c r="AQ27" i="1" s="1"/>
  <c r="AC34" i="6"/>
  <c r="AW34" i="6"/>
  <c r="AD34" i="6"/>
  <c r="AX34" i="6"/>
  <c r="O34" i="6"/>
  <c r="AK34" i="6"/>
  <c r="AK46" i="6" s="1"/>
  <c r="AF27" i="1" s="1"/>
  <c r="BE34" i="6"/>
  <c r="P34" i="6"/>
  <c r="AL34" i="6"/>
  <c r="BF34" i="6"/>
  <c r="Q34" i="6"/>
  <c r="AM34" i="6"/>
  <c r="BI34" i="6"/>
  <c r="R34" i="6"/>
  <c r="BJ34" i="6"/>
  <c r="Y34" i="6"/>
  <c r="BL34" i="6"/>
  <c r="AU34" i="6"/>
  <c r="AN34" i="6"/>
  <c r="H34" i="6"/>
  <c r="E34" i="6" a="1"/>
  <c r="E34" i="6" s="1"/>
  <c r="BC34" i="6" s="1"/>
  <c r="L37" i="6"/>
  <c r="T37" i="6"/>
  <c r="T46" i="6" s="1"/>
  <c r="O27" i="1" s="1"/>
  <c r="AB37" i="6"/>
  <c r="AJ37" i="6"/>
  <c r="AR37" i="6"/>
  <c r="AZ37" i="6"/>
  <c r="BH37" i="6"/>
  <c r="M37" i="6"/>
  <c r="U37" i="6"/>
  <c r="AC37" i="6"/>
  <c r="AK37" i="6"/>
  <c r="AS37" i="6"/>
  <c r="BA37" i="6"/>
  <c r="BI37" i="6"/>
  <c r="I37" i="6"/>
  <c r="Q37" i="6"/>
  <c r="Y37" i="6"/>
  <c r="AG37" i="6"/>
  <c r="AO37" i="6"/>
  <c r="AW37" i="6"/>
  <c r="BE37" i="6"/>
  <c r="BM37" i="6"/>
  <c r="R37" i="6"/>
  <c r="AE37" i="6"/>
  <c r="AQ37" i="6"/>
  <c r="BD37" i="6"/>
  <c r="S37" i="6"/>
  <c r="S46" i="6" s="1"/>
  <c r="N27" i="1" s="1"/>
  <c r="AF37" i="6"/>
  <c r="AT37" i="6"/>
  <c r="BF37" i="6"/>
  <c r="V37" i="6"/>
  <c r="AH37" i="6"/>
  <c r="AU37" i="6"/>
  <c r="BG37" i="6"/>
  <c r="AI37" i="6"/>
  <c r="BB37" i="6"/>
  <c r="O37" i="6"/>
  <c r="AL37" i="6"/>
  <c r="BC37" i="6"/>
  <c r="P37" i="6"/>
  <c r="AM37" i="6"/>
  <c r="BJ37" i="6"/>
  <c r="J37" i="6"/>
  <c r="J46" i="6" s="1"/>
  <c r="E27" i="1" s="1"/>
  <c r="AA37" i="6"/>
  <c r="AX37" i="6"/>
  <c r="BO37" i="6"/>
  <c r="K37" i="6"/>
  <c r="AD37" i="6"/>
  <c r="AY37" i="6"/>
  <c r="Z37" i="6"/>
  <c r="AN37" i="6"/>
  <c r="AP37" i="6"/>
  <c r="AV37" i="6"/>
  <c r="BK37" i="6"/>
  <c r="BL37" i="6"/>
  <c r="BN37" i="6"/>
  <c r="H37" i="6"/>
  <c r="X37" i="6"/>
  <c r="W37" i="6"/>
  <c r="E37" i="6"/>
  <c r="N37" i="6" s="1"/>
  <c r="N45" i="6"/>
  <c r="V45" i="6"/>
  <c r="AD45" i="6"/>
  <c r="AL45" i="6"/>
  <c r="AT45" i="6"/>
  <c r="BB45" i="6"/>
  <c r="BJ45" i="6"/>
  <c r="O45" i="6"/>
  <c r="W45" i="6"/>
  <c r="AE45" i="6"/>
  <c r="AM45" i="6"/>
  <c r="AU45" i="6"/>
  <c r="BC45" i="6"/>
  <c r="BK45" i="6"/>
  <c r="K45" i="6"/>
  <c r="S45" i="6"/>
  <c r="AA45" i="6"/>
  <c r="AI45" i="6"/>
  <c r="AQ45" i="6"/>
  <c r="AY45" i="6"/>
  <c r="BG45" i="6"/>
  <c r="BO45" i="6"/>
  <c r="Q45" i="6"/>
  <c r="AC45" i="6"/>
  <c r="AP45" i="6"/>
  <c r="BD45" i="6"/>
  <c r="H45" i="6"/>
  <c r="R45" i="6"/>
  <c r="AF45" i="6"/>
  <c r="BE45" i="6"/>
  <c r="T45" i="6"/>
  <c r="AG45" i="6"/>
  <c r="AS45" i="6"/>
  <c r="BF45" i="6"/>
  <c r="L45" i="6"/>
  <c r="Z45" i="6"/>
  <c r="AW45" i="6"/>
  <c r="BN45" i="6"/>
  <c r="I45" i="6"/>
  <c r="AB45" i="6"/>
  <c r="AX45" i="6"/>
  <c r="J45" i="6"/>
  <c r="AH45" i="6"/>
  <c r="AZ45" i="6"/>
  <c r="X45" i="6"/>
  <c r="AO45" i="6"/>
  <c r="BL45" i="6"/>
  <c r="Y45" i="6"/>
  <c r="AV45" i="6"/>
  <c r="BM45" i="6"/>
  <c r="AN45" i="6"/>
  <c r="BA45" i="6"/>
  <c r="BH45" i="6"/>
  <c r="M45" i="6"/>
  <c r="BI45" i="6"/>
  <c r="P45" i="6"/>
  <c r="AJ45" i="6"/>
  <c r="AK45" i="6"/>
  <c r="U45" i="6"/>
  <c r="E45" i="6"/>
  <c r="AR45" i="6" s="1"/>
  <c r="BK30" i="6"/>
  <c r="BF26" i="1" s="1"/>
  <c r="M30" i="6"/>
  <c r="H26" i="1" s="1"/>
  <c r="AA44" i="5"/>
  <c r="H7" i="1" s="1"/>
  <c r="AN30" i="6"/>
  <c r="AI26" i="1" s="1"/>
  <c r="F28" i="8"/>
  <c r="AL44" i="5"/>
  <c r="S7" i="1" s="1"/>
  <c r="BD30" i="6"/>
  <c r="AY26" i="1" s="1"/>
  <c r="AV44" i="5"/>
  <c r="AC7" i="1" s="1"/>
  <c r="BM30" i="6"/>
  <c r="BH26" i="1" s="1"/>
  <c r="X44" i="5"/>
  <c r="E7" i="1" s="1"/>
  <c r="I30" i="6"/>
  <c r="D26" i="1" s="1"/>
  <c r="AD30" i="6"/>
  <c r="Y26" i="1" s="1"/>
  <c r="BK44" i="5"/>
  <c r="AR7" i="1" s="1"/>
  <c r="AR44" i="5"/>
  <c r="Y7" i="1" s="1"/>
  <c r="BL30" i="6"/>
  <c r="BG26" i="1" s="1"/>
  <c r="BJ44" i="5"/>
  <c r="AQ7" i="1" s="1"/>
  <c r="AJ44" i="5"/>
  <c r="Q7" i="1" s="1"/>
  <c r="AO44" i="5"/>
  <c r="V7" i="1" s="1"/>
  <c r="AZ44" i="5"/>
  <c r="AG7" i="1" s="1"/>
  <c r="Y30" i="6"/>
  <c r="BZ44" i="5"/>
  <c r="BG7" i="1" s="1"/>
  <c r="CD44" i="5"/>
  <c r="AD44" i="5"/>
  <c r="K7" i="1" s="1"/>
  <c r="K9" i="1" s="1"/>
  <c r="AI44" i="5"/>
  <c r="P7" i="1" s="1"/>
  <c r="P9" i="1" s="1"/>
  <c r="AG44" i="5"/>
  <c r="N7" i="1" s="1"/>
  <c r="N9" i="1" s="1"/>
  <c r="AX44" i="5"/>
  <c r="AE7" i="1" s="1"/>
  <c r="AE9" i="1" s="1"/>
  <c r="AP44" i="5"/>
  <c r="W7" i="1" s="1"/>
  <c r="W9" i="1" s="1"/>
  <c r="BH44" i="5"/>
  <c r="AO7" i="1" s="1"/>
  <c r="AO9" i="1" s="1"/>
  <c r="AY44" i="5"/>
  <c r="AF7" i="1" s="1"/>
  <c r="AF9" i="1" s="1"/>
  <c r="BT44" i="5"/>
  <c r="BA7" i="1" s="1"/>
  <c r="BA9" i="1" s="1"/>
  <c r="CB44" i="5"/>
  <c r="BI7" i="1" s="1"/>
  <c r="BI9" i="1" s="1"/>
  <c r="BU44" i="5"/>
  <c r="BB7" i="1" s="1"/>
  <c r="BB9" i="1" s="1"/>
  <c r="BG44" i="5"/>
  <c r="AN7" i="1" s="1"/>
  <c r="AN9" i="1" s="1"/>
  <c r="BO44" i="5"/>
  <c r="AV7" i="1" s="1"/>
  <c r="AV9" i="1" s="1"/>
  <c r="BE44" i="5"/>
  <c r="AL7" i="1" s="1"/>
  <c r="AL9" i="1" s="1"/>
  <c r="W44" i="5"/>
  <c r="D7" i="1" s="1"/>
  <c r="D9" i="1" s="1"/>
  <c r="CA44" i="5"/>
  <c r="BH7" i="1" s="1"/>
  <c r="BH9" i="1" s="1"/>
  <c r="BR44" i="5"/>
  <c r="AY7" i="1" s="1"/>
  <c r="AY9" i="1" s="1"/>
  <c r="V44" i="5"/>
  <c r="C7" i="1" s="1"/>
  <c r="C9" i="1" s="1"/>
  <c r="BM44" i="5"/>
  <c r="AT7" i="1" s="1"/>
  <c r="AT9" i="1" s="1"/>
  <c r="AH30" i="6"/>
  <c r="AK44" i="5"/>
  <c r="R7" i="1" s="1"/>
  <c r="R9" i="1" s="1"/>
  <c r="BC44" i="5"/>
  <c r="AJ7" i="1" s="1"/>
  <c r="AJ9" i="1" s="1"/>
  <c r="L30" i="6"/>
  <c r="J30" i="6"/>
  <c r="BH30" i="6"/>
  <c r="BF30" i="6"/>
  <c r="D9" i="7"/>
  <c r="E4" i="7" s="1"/>
  <c r="D5" i="7"/>
  <c r="D7" i="7" s="1"/>
  <c r="X30" i="6"/>
  <c r="AE30" i="6"/>
  <c r="U30" i="6"/>
  <c r="AT44" i="5"/>
  <c r="AA7" i="1" s="1"/>
  <c r="AA9" i="1" s="1"/>
  <c r="AH44" i="5"/>
  <c r="O7" i="1" s="1"/>
  <c r="O9" i="1" s="1"/>
  <c r="O30" i="6"/>
  <c r="BD44" i="5"/>
  <c r="AK7" i="1" s="1"/>
  <c r="AK9" i="1" s="1"/>
  <c r="AU44" i="5"/>
  <c r="AB7" i="1" s="1"/>
  <c r="AB9" i="1" s="1"/>
  <c r="AN44" i="5"/>
  <c r="U7" i="1" s="1"/>
  <c r="U9" i="1" s="1"/>
  <c r="CC44" i="5"/>
  <c r="BJ7" i="1" s="1"/>
  <c r="BJ9" i="1" s="1"/>
  <c r="BW44" i="5"/>
  <c r="BD7" i="1" s="1"/>
  <c r="BD9" i="1" s="1"/>
  <c r="BJ30" i="6"/>
  <c r="AQ44" i="5"/>
  <c r="X7" i="1" s="1"/>
  <c r="X9" i="1" s="1"/>
  <c r="BA30" i="6"/>
  <c r="BY44" i="5"/>
  <c r="BF7" i="1" s="1"/>
  <c r="BF9" i="1" s="1"/>
  <c r="AE44" i="5"/>
  <c r="L7" i="1" s="1"/>
  <c r="L9" i="1" s="1"/>
  <c r="BQ44" i="5"/>
  <c r="AX7" i="1" s="1"/>
  <c r="AX9" i="1" s="1"/>
  <c r="AZ30" i="6"/>
  <c r="AY30" i="6"/>
  <c r="AR30" i="6"/>
  <c r="BL44" i="5"/>
  <c r="AS7" i="1" s="1"/>
  <c r="AS9" i="1" s="1"/>
  <c r="AE46" i="6"/>
  <c r="Z27" i="1" s="1"/>
  <c r="AO30" i="6"/>
  <c r="AQ30" i="6"/>
  <c r="AM44" i="5"/>
  <c r="T7" i="1" s="1"/>
  <c r="T9" i="1" s="1"/>
  <c r="BI44" i="5"/>
  <c r="AP7" i="1" s="1"/>
  <c r="AP9" i="1" s="1"/>
  <c r="AL30" i="6"/>
  <c r="BA44" i="5"/>
  <c r="AH7" i="1" s="1"/>
  <c r="AH9" i="1" s="1"/>
  <c r="AW30" i="6"/>
  <c r="BG30" i="6"/>
  <c r="AF44" i="5"/>
  <c r="M7" i="1" s="1"/>
  <c r="M9" i="1" s="1"/>
  <c r="AP30" i="6"/>
  <c r="Z30" i="6"/>
  <c r="AT30" i="6"/>
  <c r="BI30" i="6"/>
  <c r="AB44" i="5"/>
  <c r="I7" i="1" s="1"/>
  <c r="I9" i="1" s="1"/>
  <c r="AC30" i="6"/>
  <c r="AK30" i="6"/>
  <c r="Q30" i="6"/>
  <c r="AW44" i="5"/>
  <c r="AD7" i="1" s="1"/>
  <c r="AD9" i="1" s="1"/>
  <c r="AX30" i="6"/>
  <c r="E18" i="1"/>
  <c r="AJ30" i="6"/>
  <c r="Y44" i="5"/>
  <c r="F7" i="1" s="1"/>
  <c r="F9" i="1" s="1"/>
  <c r="BS44" i="5"/>
  <c r="AZ7" i="1" s="1"/>
  <c r="AZ9" i="1" s="1"/>
  <c r="W30" i="6"/>
  <c r="AF30" i="6"/>
  <c r="AG30" i="6"/>
  <c r="Z44" i="5"/>
  <c r="G7" i="1" s="1"/>
  <c r="G9" i="1" s="1"/>
  <c r="BO30" i="6"/>
  <c r="BB30" i="6"/>
  <c r="AV30" i="6"/>
  <c r="BC30" i="6"/>
  <c r="H30" i="6"/>
  <c r="BN30" i="6"/>
  <c r="AX46" i="6"/>
  <c r="AS27" i="1" s="1"/>
  <c r="T30" i="6"/>
  <c r="R30" i="6"/>
  <c r="E28" i="8"/>
  <c r="BP44" i="5"/>
  <c r="AW7" i="1" s="1"/>
  <c r="AW9" i="1" s="1"/>
  <c r="C15" i="7"/>
  <c r="C19" i="7"/>
  <c r="D14" i="7" s="1"/>
  <c r="D16" i="7" s="1"/>
  <c r="BB44" i="5"/>
  <c r="AI7" i="1" s="1"/>
  <c r="AI9" i="1" s="1"/>
  <c r="BV44" i="5"/>
  <c r="BC7" i="1" s="1"/>
  <c r="BC9" i="1" s="1"/>
  <c r="BN44" i="5"/>
  <c r="AU7" i="1" s="1"/>
  <c r="AU9" i="1" s="1"/>
  <c r="AU30" i="6"/>
  <c r="BF44" i="5"/>
  <c r="AM7" i="1" s="1"/>
  <c r="AM9" i="1" s="1"/>
  <c r="AM30" i="6"/>
  <c r="AS44" i="5"/>
  <c r="Z7" i="1" s="1"/>
  <c r="Z9" i="1" s="1"/>
  <c r="S30" i="6"/>
  <c r="V30" i="6"/>
  <c r="AC44" i="5"/>
  <c r="J7" i="1" s="1"/>
  <c r="J9" i="1" s="1"/>
  <c r="AS30" i="6"/>
  <c r="BX44" i="5"/>
  <c r="BE7" i="1" s="1"/>
  <c r="BE9" i="1" s="1"/>
  <c r="AA30" i="6"/>
  <c r="AI30" i="6"/>
  <c r="K30" i="6"/>
  <c r="BE30" i="6"/>
  <c r="AB30" i="6"/>
  <c r="P30" i="6"/>
  <c r="N30" i="6"/>
  <c r="BJ46" i="6" l="1"/>
  <c r="BE27" i="1" s="1"/>
  <c r="AH46" i="6"/>
  <c r="AC27" i="1" s="1"/>
  <c r="AQ46" i="6"/>
  <c r="AL27" i="1" s="1"/>
  <c r="AM46" i="6"/>
  <c r="AH27" i="1" s="1"/>
  <c r="K46" i="6"/>
  <c r="F27" i="1" s="1"/>
  <c r="I46" i="6"/>
  <c r="D27" i="1" s="1"/>
  <c r="D28" i="1" s="1"/>
  <c r="BH46" i="6"/>
  <c r="BC27" i="1" s="1"/>
  <c r="BN46" i="6"/>
  <c r="BI27" i="1" s="1"/>
  <c r="BG46" i="6"/>
  <c r="BB27" i="1" s="1"/>
  <c r="AW46" i="6"/>
  <c r="AR27" i="1" s="1"/>
  <c r="BA46" i="6"/>
  <c r="AV27" i="1" s="1"/>
  <c r="M46" i="6"/>
  <c r="H27" i="1" s="1"/>
  <c r="AF46" i="6"/>
  <c r="AA27" i="1" s="1"/>
  <c r="E20" i="8" s="1"/>
  <c r="AL46" i="6"/>
  <c r="AG27" i="1" s="1"/>
  <c r="AS46" i="6"/>
  <c r="AN27" i="1" s="1"/>
  <c r="Y46" i="6"/>
  <c r="T27" i="1" s="1"/>
  <c r="BD46" i="6"/>
  <c r="AY27" i="1" s="1"/>
  <c r="AU46" i="6"/>
  <c r="AP27" i="1" s="1"/>
  <c r="AG46" i="6"/>
  <c r="AB27" i="1" s="1"/>
  <c r="AC46" i="6"/>
  <c r="X27" i="1" s="1"/>
  <c r="BE46" i="6"/>
  <c r="AZ27" i="1" s="1"/>
  <c r="Z46" i="6"/>
  <c r="U27" i="1" s="1"/>
  <c r="AO46" i="6"/>
  <c r="AJ27" i="1" s="1"/>
  <c r="AZ46" i="6"/>
  <c r="AU27" i="1" s="1"/>
  <c r="AY46" i="6"/>
  <c r="AT27" i="1" s="1"/>
  <c r="AB46" i="6"/>
  <c r="W27" i="1" s="1"/>
  <c r="BO46" i="6"/>
  <c r="BJ27" i="1" s="1"/>
  <c r="BF46" i="6"/>
  <c r="BA27" i="1" s="1"/>
  <c r="L46" i="6"/>
  <c r="G27" i="1" s="1"/>
  <c r="C20" i="8" s="1"/>
  <c r="BB46" i="6"/>
  <c r="AW27" i="1" s="1"/>
  <c r="BM46" i="6"/>
  <c r="BH27" i="1" s="1"/>
  <c r="V46" i="6"/>
  <c r="Q27" i="1" s="1"/>
  <c r="D20" i="8" s="1"/>
  <c r="AN46" i="6"/>
  <c r="AI27" i="1" s="1"/>
  <c r="AR46" i="6"/>
  <c r="AM27" i="1" s="1"/>
  <c r="AD46" i="6"/>
  <c r="Y27" i="1" s="1"/>
  <c r="P46" i="6"/>
  <c r="K27" i="1" s="1"/>
  <c r="Q46" i="6"/>
  <c r="L27" i="1" s="1"/>
  <c r="BC46" i="6"/>
  <c r="AX27" i="1" s="1"/>
  <c r="BI46" i="6"/>
  <c r="BD27" i="1" s="1"/>
  <c r="O46" i="6"/>
  <c r="J27" i="1" s="1"/>
  <c r="U46" i="6"/>
  <c r="P27" i="1" s="1"/>
  <c r="AI46" i="6"/>
  <c r="AD27" i="1" s="1"/>
  <c r="AT46" i="6"/>
  <c r="AO27" i="1" s="1"/>
  <c r="N46" i="6"/>
  <c r="I27" i="1" s="1"/>
  <c r="M48" i="6"/>
  <c r="H28" i="1"/>
  <c r="AY28" i="1"/>
  <c r="Q9" i="1"/>
  <c r="Q10" i="1" s="1"/>
  <c r="Q11" i="1" s="1"/>
  <c r="AC9" i="1"/>
  <c r="AC10" i="1" s="1"/>
  <c r="AC11" i="1" s="1"/>
  <c r="AQ9" i="1"/>
  <c r="AQ10" i="1" s="1"/>
  <c r="AQ11" i="1" s="1"/>
  <c r="H9" i="1"/>
  <c r="H10" i="1" s="1"/>
  <c r="H11" i="1" s="1"/>
  <c r="V9" i="1"/>
  <c r="V10" i="1" s="1"/>
  <c r="V11" i="1" s="1"/>
  <c r="S9" i="1"/>
  <c r="S10" i="1" s="1"/>
  <c r="S11" i="1" s="1"/>
  <c r="AR9" i="1"/>
  <c r="AR10" i="1" s="1"/>
  <c r="AR11" i="1" s="1"/>
  <c r="AG9" i="1"/>
  <c r="AG10" i="1" s="1"/>
  <c r="AG11" i="1" s="1"/>
  <c r="Y9" i="1"/>
  <c r="Y10" i="1" s="1"/>
  <c r="Y11" i="1" s="1"/>
  <c r="E9" i="1"/>
  <c r="E10" i="1" s="1"/>
  <c r="E11" i="1" s="1"/>
  <c r="BG9" i="1"/>
  <c r="BG10" i="1" s="1"/>
  <c r="BG11" i="1" s="1"/>
  <c r="BH28" i="1"/>
  <c r="AI28" i="1"/>
  <c r="Y28" i="1"/>
  <c r="BG28" i="1"/>
  <c r="Y48" i="6"/>
  <c r="T26" i="1"/>
  <c r="BK48" i="6"/>
  <c r="BD48" i="6"/>
  <c r="AN48" i="6"/>
  <c r="G20" i="8"/>
  <c r="AD48" i="6"/>
  <c r="C17" i="7"/>
  <c r="C23" i="7" s="1"/>
  <c r="C32" i="1" s="1"/>
  <c r="I26" i="1"/>
  <c r="AD26" i="1"/>
  <c r="AD28" i="1" s="1"/>
  <c r="AI48" i="6"/>
  <c r="Q26" i="1"/>
  <c r="Q28" i="1" s="1"/>
  <c r="V48" i="6"/>
  <c r="AU10" i="1"/>
  <c r="AU11" i="1" s="1"/>
  <c r="D19" i="7"/>
  <c r="E14" i="7" s="1"/>
  <c r="E16" i="7" s="1"/>
  <c r="D15" i="7"/>
  <c r="AX26" i="1"/>
  <c r="R26" i="1"/>
  <c r="R28" i="1" s="1"/>
  <c r="W48" i="6"/>
  <c r="X26" i="1"/>
  <c r="X28" i="1" s="1"/>
  <c r="AC48" i="6"/>
  <c r="BB26" i="1"/>
  <c r="BB28" i="1" s="1"/>
  <c r="BG48" i="6"/>
  <c r="AS10" i="1"/>
  <c r="AS11" i="1" s="1"/>
  <c r="AX10" i="1"/>
  <c r="AX11" i="1" s="1"/>
  <c r="BE26" i="1"/>
  <c r="BE28" i="1" s="1"/>
  <c r="BJ48" i="6"/>
  <c r="E5" i="8"/>
  <c r="AC26" i="1"/>
  <c r="AC28" i="1" s="1"/>
  <c r="AH48" i="6"/>
  <c r="BH10" i="1"/>
  <c r="BH11" i="1" s="1"/>
  <c r="BI10" i="1"/>
  <c r="BI11" i="1" s="1"/>
  <c r="W10" i="1"/>
  <c r="W11" i="1" s="1"/>
  <c r="N10" i="1"/>
  <c r="N11" i="1" s="1"/>
  <c r="BJ26" i="1"/>
  <c r="BJ28" i="1" s="1"/>
  <c r="BO48" i="6"/>
  <c r="AZ10" i="1"/>
  <c r="AZ11" i="1" s="1"/>
  <c r="AD10" i="1"/>
  <c r="AD11" i="1" s="1"/>
  <c r="I10" i="1"/>
  <c r="I11" i="1" s="1"/>
  <c r="AL26" i="1"/>
  <c r="AL28" i="1" s="1"/>
  <c r="AQ48" i="6"/>
  <c r="AM26" i="1"/>
  <c r="AM28" i="1" s="1"/>
  <c r="AR48" i="6"/>
  <c r="L10" i="1"/>
  <c r="L11" i="1" s="1"/>
  <c r="BD10" i="1"/>
  <c r="BD11" i="1" s="1"/>
  <c r="P26" i="1"/>
  <c r="P28" i="1" s="1"/>
  <c r="BA26" i="1"/>
  <c r="BA10" i="1"/>
  <c r="BA11" i="1" s="1"/>
  <c r="AE10" i="1"/>
  <c r="AE11" i="1" s="1"/>
  <c r="P10" i="1"/>
  <c r="P11" i="1" s="1"/>
  <c r="K26" i="1"/>
  <c r="K28" i="1" s="1"/>
  <c r="P48" i="6"/>
  <c r="V26" i="1"/>
  <c r="V28" i="1" s="1"/>
  <c r="AA48" i="6"/>
  <c r="AW10" i="1"/>
  <c r="AW11" i="1" s="1"/>
  <c r="AQ26" i="1"/>
  <c r="AQ28" i="1" s="1"/>
  <c r="AV48" i="6"/>
  <c r="G10" i="1"/>
  <c r="G11" i="1" s="1"/>
  <c r="F10" i="1"/>
  <c r="F11" i="1" s="1"/>
  <c r="L26" i="1"/>
  <c r="Q48" i="6"/>
  <c r="BD26" i="1"/>
  <c r="AR26" i="1"/>
  <c r="AR28" i="1" s="1"/>
  <c r="AW48" i="6"/>
  <c r="BJ10" i="1"/>
  <c r="BJ11" i="1" s="1"/>
  <c r="Z26" i="1"/>
  <c r="Z28" i="1" s="1"/>
  <c r="AE48" i="6"/>
  <c r="BM48" i="6"/>
  <c r="G26" i="1"/>
  <c r="AT10" i="1"/>
  <c r="AT11" i="1" s="1"/>
  <c r="N26" i="1"/>
  <c r="N28" i="1" s="1"/>
  <c r="S48" i="6"/>
  <c r="BC10" i="1"/>
  <c r="BC11" i="1" s="1"/>
  <c r="AW26" i="1"/>
  <c r="BB48" i="6"/>
  <c r="AE26" i="1"/>
  <c r="AE28" i="1" s="1"/>
  <c r="AJ48" i="6"/>
  <c r="AF26" i="1"/>
  <c r="AF28" i="1" s="1"/>
  <c r="AK48" i="6"/>
  <c r="AO26" i="1"/>
  <c r="AO28" i="1" s="1"/>
  <c r="AT48" i="6"/>
  <c r="AH10" i="1"/>
  <c r="AH11" i="1" s="1"/>
  <c r="AT26" i="1"/>
  <c r="AT28" i="1" s="1"/>
  <c r="AY48" i="6"/>
  <c r="BL48" i="6"/>
  <c r="U10" i="1"/>
  <c r="U11" i="1" s="1"/>
  <c r="S26" i="1"/>
  <c r="S28" i="1" s="1"/>
  <c r="X48" i="6"/>
  <c r="AJ10" i="1"/>
  <c r="AJ11" i="1" s="1"/>
  <c r="D10" i="1"/>
  <c r="D11" i="1" s="1"/>
  <c r="AH26" i="1"/>
  <c r="AH28" i="1" s="1"/>
  <c r="AM48" i="6"/>
  <c r="U26" i="1"/>
  <c r="AG26" i="1"/>
  <c r="AL48" i="6"/>
  <c r="AU26" i="1"/>
  <c r="AU28" i="1" s="1"/>
  <c r="F20" i="8"/>
  <c r="AL10" i="1"/>
  <c r="AL11" i="1" s="1"/>
  <c r="AF10" i="1"/>
  <c r="AF11" i="1" s="1"/>
  <c r="W26" i="1"/>
  <c r="W28" i="1" s="1"/>
  <c r="AB48" i="6"/>
  <c r="BE10" i="1"/>
  <c r="BE11" i="1" s="1"/>
  <c r="AI10" i="1"/>
  <c r="AI11" i="1" s="1"/>
  <c r="AB26" i="1"/>
  <c r="AB28" i="1" s="1"/>
  <c r="AG48" i="6"/>
  <c r="AJ26" i="1"/>
  <c r="AJ28" i="1" s="1"/>
  <c r="AO48" i="6"/>
  <c r="AB10" i="1"/>
  <c r="AB11" i="1" s="1"/>
  <c r="BC26" i="1"/>
  <c r="BC28" i="1" s="1"/>
  <c r="BH48" i="6"/>
  <c r="AZ26" i="1"/>
  <c r="AZ28" i="1" s="1"/>
  <c r="AN26" i="1"/>
  <c r="AN28" i="1" s="1"/>
  <c r="AS48" i="6"/>
  <c r="F5" i="8"/>
  <c r="BI26" i="1"/>
  <c r="F18" i="1"/>
  <c r="AK26" i="1"/>
  <c r="AK28" i="1" s="1"/>
  <c r="AP48" i="6"/>
  <c r="BF10" i="1"/>
  <c r="BF11" i="1" s="1"/>
  <c r="AK10" i="1"/>
  <c r="AK11" i="1" s="1"/>
  <c r="R10" i="1"/>
  <c r="R11" i="1" s="1"/>
  <c r="AV10" i="1"/>
  <c r="AV11" i="1" s="1"/>
  <c r="J26" i="1"/>
  <c r="J28" i="1" s="1"/>
  <c r="O48" i="6"/>
  <c r="E5" i="7"/>
  <c r="E7" i="7" s="1"/>
  <c r="E9" i="7"/>
  <c r="F4" i="7" s="1"/>
  <c r="E26" i="1"/>
  <c r="E28" i="1" s="1"/>
  <c r="J48" i="6"/>
  <c r="C5" i="8"/>
  <c r="AN10" i="1"/>
  <c r="AN11" i="1" s="1"/>
  <c r="K10" i="1"/>
  <c r="K11" i="1" s="1"/>
  <c r="Z10" i="1"/>
  <c r="Z11" i="1" s="1"/>
  <c r="F26" i="1"/>
  <c r="F28" i="1" s="1"/>
  <c r="K48" i="6"/>
  <c r="M26" i="1"/>
  <c r="M28" i="1" s="1"/>
  <c r="R48" i="6"/>
  <c r="C26" i="1"/>
  <c r="C28" i="1" s="1"/>
  <c r="H48" i="6"/>
  <c r="AP10" i="1"/>
  <c r="AP11" i="1" s="1"/>
  <c r="AV26" i="1"/>
  <c r="AV28" i="1" s="1"/>
  <c r="BA48" i="6"/>
  <c r="J10" i="1"/>
  <c r="J11" i="1" s="1"/>
  <c r="AP26" i="1"/>
  <c r="AP28" i="1" s="1"/>
  <c r="AU48" i="6"/>
  <c r="O26" i="1"/>
  <c r="O28" i="1" s="1"/>
  <c r="T48" i="6"/>
  <c r="AA26" i="1"/>
  <c r="AA28" i="1" s="1"/>
  <c r="AF48" i="6"/>
  <c r="AS26" i="1"/>
  <c r="AS28" i="1" s="1"/>
  <c r="AX48" i="6"/>
  <c r="M10" i="1"/>
  <c r="M11" i="1" s="1"/>
  <c r="T10" i="1"/>
  <c r="T11" i="1" s="1"/>
  <c r="X10" i="1"/>
  <c r="X11" i="1" s="1"/>
  <c r="D5" i="8"/>
  <c r="G5" i="8"/>
  <c r="BB10" i="1"/>
  <c r="BB11" i="1" s="1"/>
  <c r="AO10" i="1"/>
  <c r="AO11" i="1" s="1"/>
  <c r="BE48" i="6" l="1"/>
  <c r="AZ48" i="6"/>
  <c r="AW28" i="1"/>
  <c r="L28" i="1"/>
  <c r="BN48" i="6"/>
  <c r="AG28" i="1"/>
  <c r="BI28" i="1"/>
  <c r="Z48" i="6"/>
  <c r="BC48" i="6"/>
  <c r="I48" i="6"/>
  <c r="U28" i="1"/>
  <c r="L48" i="6"/>
  <c r="BI48" i="6"/>
  <c r="BF48" i="6"/>
  <c r="AX28" i="1"/>
  <c r="G28" i="1"/>
  <c r="BD28" i="1"/>
  <c r="BA28" i="1"/>
  <c r="T28" i="1"/>
  <c r="N48" i="6"/>
  <c r="U48" i="6"/>
  <c r="I28" i="1"/>
  <c r="E20" i="1"/>
  <c r="G19" i="8"/>
  <c r="C19" i="8"/>
  <c r="D19" i="8"/>
  <c r="D17" i="7"/>
  <c r="D23" i="7" s="1"/>
  <c r="D32" i="1" s="1"/>
  <c r="D20" i="1"/>
  <c r="W45" i="5" s="1"/>
  <c r="F5" i="7"/>
  <c r="F7" i="7" s="1"/>
  <c r="F9" i="7"/>
  <c r="G4" i="7" s="1"/>
  <c r="E19" i="8"/>
  <c r="G18" i="1"/>
  <c r="F20" i="1"/>
  <c r="Y45" i="5" s="1"/>
  <c r="AA10" i="1"/>
  <c r="E8" i="8" s="1"/>
  <c r="AY10" i="1"/>
  <c r="G8" i="8" s="1"/>
  <c r="E15" i="7"/>
  <c r="E19" i="7"/>
  <c r="F14" i="7" s="1"/>
  <c r="F16" i="7" s="1"/>
  <c r="O10" i="1"/>
  <c r="D8" i="8" s="1"/>
  <c r="AM10" i="1"/>
  <c r="F8" i="8" s="1"/>
  <c r="F19" i="8"/>
  <c r="D13" i="1" l="1"/>
  <c r="D15" i="1" s="1"/>
  <c r="D22" i="1" s="1"/>
  <c r="W48" i="5"/>
  <c r="F13" i="1"/>
  <c r="F15" i="1" s="1"/>
  <c r="F22" i="1" s="1"/>
  <c r="F52" i="1" s="1"/>
  <c r="Y48" i="5"/>
  <c r="X45" i="5"/>
  <c r="AY11" i="1"/>
  <c r="G25" i="8" s="1"/>
  <c r="AA11" i="1"/>
  <c r="E9" i="8" s="1"/>
  <c r="D29" i="1"/>
  <c r="D38" i="1" s="1"/>
  <c r="D51" i="1" s="1"/>
  <c r="D52" i="1"/>
  <c r="F15" i="7"/>
  <c r="F19" i="7"/>
  <c r="G14" i="7" s="1"/>
  <c r="G16" i="7" s="1"/>
  <c r="E17" i="7"/>
  <c r="E23" i="7" s="1"/>
  <c r="E32" i="1" s="1"/>
  <c r="G20" i="1"/>
  <c r="Z45" i="5" s="1"/>
  <c r="H18" i="1"/>
  <c r="G9" i="7"/>
  <c r="H4" i="7" s="1"/>
  <c r="G5" i="7"/>
  <c r="G7" i="7" s="1"/>
  <c r="AM11" i="1"/>
  <c r="O11" i="1"/>
  <c r="F29" i="1" l="1"/>
  <c r="G13" i="1"/>
  <c r="G15" i="1" s="1"/>
  <c r="G22" i="1" s="1"/>
  <c r="Z48" i="5"/>
  <c r="E13" i="1"/>
  <c r="E15" i="1" s="1"/>
  <c r="E22" i="1" s="1"/>
  <c r="E29" i="1" s="1"/>
  <c r="X48" i="5"/>
  <c r="E38" i="1"/>
  <c r="E51" i="1" s="1"/>
  <c r="E52" i="1"/>
  <c r="G13" i="8"/>
  <c r="G9" i="8"/>
  <c r="E13" i="8"/>
  <c r="E25" i="8"/>
  <c r="G19" i="7"/>
  <c r="H14" i="7" s="1"/>
  <c r="H16" i="7" s="1"/>
  <c r="G15" i="7"/>
  <c r="I18" i="1"/>
  <c r="H20" i="1"/>
  <c r="AA45" i="5" s="1"/>
  <c r="F17" i="7"/>
  <c r="F23" i="7" s="1"/>
  <c r="F32" i="1" s="1"/>
  <c r="F38" i="1" s="1"/>
  <c r="F51" i="1" s="1"/>
  <c r="F9" i="8"/>
  <c r="F13" i="8"/>
  <c r="F25" i="8"/>
  <c r="G52" i="1"/>
  <c r="G29" i="1"/>
  <c r="D9" i="8"/>
  <c r="D25" i="8"/>
  <c r="D13" i="8"/>
  <c r="H9" i="7"/>
  <c r="I4" i="7" s="1"/>
  <c r="H5" i="7"/>
  <c r="H7" i="7" s="1"/>
  <c r="H13" i="1" l="1"/>
  <c r="H15" i="1" s="1"/>
  <c r="H22" i="1" s="1"/>
  <c r="H52" i="1" s="1"/>
  <c r="AA48" i="5"/>
  <c r="H15" i="7"/>
  <c r="H19" i="7"/>
  <c r="I14" i="7" s="1"/>
  <c r="I16" i="7" s="1"/>
  <c r="I20" i="1"/>
  <c r="AB45" i="5" s="1"/>
  <c r="J18" i="1"/>
  <c r="I9" i="7"/>
  <c r="J4" i="7" s="1"/>
  <c r="I5" i="7"/>
  <c r="I7" i="7" s="1"/>
  <c r="G17" i="7"/>
  <c r="G23" i="7" s="1"/>
  <c r="G32" i="1" s="1"/>
  <c r="G38" i="1" s="1"/>
  <c r="G51" i="1" s="1"/>
  <c r="I13" i="1" l="1"/>
  <c r="I15" i="1" s="1"/>
  <c r="I22" i="1" s="1"/>
  <c r="I52" i="1" s="1"/>
  <c r="AB48" i="5"/>
  <c r="H29" i="1"/>
  <c r="I19" i="7"/>
  <c r="J14" i="7" s="1"/>
  <c r="J16" i="7" s="1"/>
  <c r="I15" i="7"/>
  <c r="J20" i="1"/>
  <c r="AC45" i="5" s="1"/>
  <c r="K18" i="1"/>
  <c r="H17" i="7"/>
  <c r="H23" i="7" s="1"/>
  <c r="H32" i="1" s="1"/>
  <c r="J9" i="7"/>
  <c r="K4" i="7" s="1"/>
  <c r="J5" i="7"/>
  <c r="J7" i="7" s="1"/>
  <c r="H38" i="1" l="1"/>
  <c r="H51" i="1" s="1"/>
  <c r="I29" i="1"/>
  <c r="J13" i="1"/>
  <c r="J15" i="1" s="1"/>
  <c r="J22" i="1" s="1"/>
  <c r="J52" i="1" s="1"/>
  <c r="AC48" i="5"/>
  <c r="I17" i="7"/>
  <c r="I23" i="7" s="1"/>
  <c r="I32" i="1" s="1"/>
  <c r="I38" i="1" s="1"/>
  <c r="I51" i="1" s="1"/>
  <c r="J19" i="7"/>
  <c r="K14" i="7" s="1"/>
  <c r="K16" i="7" s="1"/>
  <c r="J15" i="7"/>
  <c r="L18" i="1"/>
  <c r="K20" i="1"/>
  <c r="AD45" i="5" s="1"/>
  <c r="K9" i="7"/>
  <c r="L4" i="7" s="1"/>
  <c r="K5" i="7"/>
  <c r="K7" i="7" s="1"/>
  <c r="J29" i="1" l="1"/>
  <c r="K13" i="1"/>
  <c r="K15" i="1" s="1"/>
  <c r="K22" i="1" s="1"/>
  <c r="AD48" i="5"/>
  <c r="J17" i="7"/>
  <c r="J23" i="7" s="1"/>
  <c r="J32" i="1" s="1"/>
  <c r="K19" i="7"/>
  <c r="L14" i="7" s="1"/>
  <c r="L16" i="7" s="1"/>
  <c r="K15" i="7"/>
  <c r="K29" i="1"/>
  <c r="K52" i="1"/>
  <c r="L9" i="7"/>
  <c r="M4" i="7" s="1"/>
  <c r="L5" i="7"/>
  <c r="L7" i="7" s="1"/>
  <c r="L20" i="1"/>
  <c r="AE45" i="5" s="1"/>
  <c r="M18" i="1"/>
  <c r="J38" i="1" l="1"/>
  <c r="J51" i="1" s="1"/>
  <c r="L13" i="1"/>
  <c r="L15" i="1" s="1"/>
  <c r="L22" i="1" s="1"/>
  <c r="AE48" i="5"/>
  <c r="L19" i="7"/>
  <c r="M14" i="7" s="1"/>
  <c r="M16" i="7" s="1"/>
  <c r="L15" i="7"/>
  <c r="K17" i="7"/>
  <c r="K23" i="7" s="1"/>
  <c r="K32" i="1" s="1"/>
  <c r="K38" i="1" s="1"/>
  <c r="M5" i="7"/>
  <c r="M7" i="7" s="1"/>
  <c r="M9" i="7"/>
  <c r="N4" i="7" s="1"/>
  <c r="N18" i="1"/>
  <c r="M20" i="1"/>
  <c r="AF45" i="5" s="1"/>
  <c r="L29" i="1"/>
  <c r="L52" i="1"/>
  <c r="M13" i="1" l="1"/>
  <c r="M15" i="1" s="1"/>
  <c r="M22" i="1" s="1"/>
  <c r="AF48" i="5"/>
  <c r="L17" i="7"/>
  <c r="L23" i="7" s="1"/>
  <c r="L32" i="1" s="1"/>
  <c r="L38" i="1" s="1"/>
  <c r="L51" i="1" s="1"/>
  <c r="K51" i="1"/>
  <c r="M19" i="7"/>
  <c r="M15" i="7"/>
  <c r="N5" i="7"/>
  <c r="N7" i="7" s="1"/>
  <c r="N8" i="7"/>
  <c r="O18" i="1"/>
  <c r="N20" i="1"/>
  <c r="AG45" i="5" s="1"/>
  <c r="C12" i="8"/>
  <c r="N13" i="1" l="1"/>
  <c r="N15" i="1" s="1"/>
  <c r="N22" i="1" s="1"/>
  <c r="N52" i="1" s="1"/>
  <c r="AG48" i="5"/>
  <c r="N46" i="1"/>
  <c r="N47" i="1" s="1"/>
  <c r="C29" i="8" s="1"/>
  <c r="M17" i="7"/>
  <c r="M23" i="7" s="1"/>
  <c r="M32" i="1" s="1"/>
  <c r="M52" i="1"/>
  <c r="M29" i="1"/>
  <c r="O20" i="1"/>
  <c r="AH45" i="5" s="1"/>
  <c r="P18" i="1"/>
  <c r="N9" i="7"/>
  <c r="O4" i="7" s="1"/>
  <c r="O6" i="7" s="1"/>
  <c r="N29" i="1" l="1"/>
  <c r="F24" i="2"/>
  <c r="O13" i="1"/>
  <c r="O15" i="1" s="1"/>
  <c r="O22" i="1" s="1"/>
  <c r="AH48" i="5"/>
  <c r="O9" i="7"/>
  <c r="P4" i="7" s="1"/>
  <c r="P6" i="7" s="1"/>
  <c r="O5" i="7"/>
  <c r="O7" i="7" s="1"/>
  <c r="M38" i="1"/>
  <c r="P20" i="1"/>
  <c r="AI45" i="5" s="1"/>
  <c r="Q18" i="1"/>
  <c r="N20" i="7" l="1"/>
  <c r="Q20" i="7"/>
  <c r="Q13" i="7"/>
  <c r="N13" i="7"/>
  <c r="P13" i="1"/>
  <c r="P15" i="1" s="1"/>
  <c r="P22" i="1" s="1"/>
  <c r="AI48" i="5"/>
  <c r="P9" i="7"/>
  <c r="Q4" i="7" s="1"/>
  <c r="P5" i="7"/>
  <c r="P7" i="7" s="1"/>
  <c r="O52" i="1"/>
  <c r="O29" i="1"/>
  <c r="P52" i="1"/>
  <c r="P29" i="1"/>
  <c r="M51" i="1"/>
  <c r="Q20" i="1"/>
  <c r="AJ45" i="5" s="1"/>
  <c r="R18" i="1"/>
  <c r="N24" i="7" l="1"/>
  <c r="N40" i="1" s="1"/>
  <c r="C28" i="8" s="1"/>
  <c r="Q6" i="7"/>
  <c r="Q8" i="7"/>
  <c r="Q46" i="1" s="1"/>
  <c r="Q47" i="1" s="1"/>
  <c r="D29" i="8" s="1"/>
  <c r="N14" i="7"/>
  <c r="N16" i="7" s="1"/>
  <c r="N19" i="7" s="1"/>
  <c r="O14" i="7" s="1"/>
  <c r="O16" i="7" s="1"/>
  <c r="Q13" i="1"/>
  <c r="Q15" i="1" s="1"/>
  <c r="Q22" i="1" s="1"/>
  <c r="Q29" i="1" s="1"/>
  <c r="AJ48" i="5"/>
  <c r="Q5" i="7"/>
  <c r="R20" i="1"/>
  <c r="AK45" i="5" s="1"/>
  <c r="S18" i="1"/>
  <c r="Q24" i="7" l="1"/>
  <c r="Q40" i="1" s="1"/>
  <c r="D28" i="8" s="1"/>
  <c r="Q9" i="7"/>
  <c r="R4" i="7" s="1"/>
  <c r="R6" i="7" s="1"/>
  <c r="R9" i="7" s="1"/>
  <c r="S4" i="7" s="1"/>
  <c r="S6" i="7" s="1"/>
  <c r="Q7" i="7"/>
  <c r="N15" i="7"/>
  <c r="N17" i="7" s="1"/>
  <c r="N23" i="7" s="1"/>
  <c r="N32" i="1" s="1"/>
  <c r="Q52" i="1"/>
  <c r="R13" i="1"/>
  <c r="R15" i="1" s="1"/>
  <c r="R22" i="1" s="1"/>
  <c r="AK48" i="5"/>
  <c r="O15" i="7"/>
  <c r="O19" i="7"/>
  <c r="P14" i="7" s="1"/>
  <c r="P16" i="7" s="1"/>
  <c r="R5" i="7"/>
  <c r="T18" i="1"/>
  <c r="S20" i="1"/>
  <c r="AL45" i="5" s="1"/>
  <c r="S13" i="1" l="1"/>
  <c r="S15" i="1" s="1"/>
  <c r="S22" i="1" s="1"/>
  <c r="AL48" i="5"/>
  <c r="S5" i="7"/>
  <c r="S9" i="7"/>
  <c r="T4" i="7" s="1"/>
  <c r="T6" i="7" s="1"/>
  <c r="P15" i="7"/>
  <c r="P19" i="7"/>
  <c r="Q14" i="7" s="1"/>
  <c r="Q16" i="7" s="1"/>
  <c r="R7" i="7"/>
  <c r="R52" i="1"/>
  <c r="R29" i="1"/>
  <c r="S29" i="1"/>
  <c r="S52" i="1"/>
  <c r="O17" i="7"/>
  <c r="O23" i="7" s="1"/>
  <c r="O32" i="1" s="1"/>
  <c r="C23" i="8"/>
  <c r="N38" i="1"/>
  <c r="T20" i="1"/>
  <c r="AM45" i="5" s="1"/>
  <c r="U18" i="1"/>
  <c r="T13" i="1" l="1"/>
  <c r="T15" i="1" s="1"/>
  <c r="T22" i="1" s="1"/>
  <c r="AM48" i="5"/>
  <c r="Q15" i="7"/>
  <c r="Q19" i="7"/>
  <c r="R14" i="7" s="1"/>
  <c r="R16" i="7" s="1"/>
  <c r="T9" i="7"/>
  <c r="U4" i="7" s="1"/>
  <c r="U6" i="7" s="1"/>
  <c r="T5" i="7"/>
  <c r="T7" i="7" s="1"/>
  <c r="P17" i="7"/>
  <c r="P23" i="7" s="1"/>
  <c r="P32" i="1" s="1"/>
  <c r="P38" i="1" s="1"/>
  <c r="P51" i="1" s="1"/>
  <c r="N51" i="1"/>
  <c r="O38" i="1"/>
  <c r="U20" i="1"/>
  <c r="AN45" i="5" s="1"/>
  <c r="V18" i="1"/>
  <c r="S7" i="7"/>
  <c r="U13" i="1" l="1"/>
  <c r="U15" i="1" s="1"/>
  <c r="U22" i="1" s="1"/>
  <c r="AN48" i="5"/>
  <c r="U9" i="7"/>
  <c r="V4" i="7" s="1"/>
  <c r="V6" i="7" s="1"/>
  <c r="U5" i="7"/>
  <c r="U7" i="7" s="1"/>
  <c r="R19" i="7"/>
  <c r="S14" i="7" s="1"/>
  <c r="S16" i="7" s="1"/>
  <c r="R15" i="7"/>
  <c r="O51" i="1"/>
  <c r="V20" i="1"/>
  <c r="AO45" i="5" s="1"/>
  <c r="W18" i="1"/>
  <c r="Q17" i="7"/>
  <c r="Q23" i="7" s="1"/>
  <c r="Q32" i="1" s="1"/>
  <c r="U52" i="1"/>
  <c r="U29" i="1"/>
  <c r="T29" i="1"/>
  <c r="T52" i="1"/>
  <c r="V13" i="1" l="1"/>
  <c r="V15" i="1" s="1"/>
  <c r="V22" i="1" s="1"/>
  <c r="AO48" i="5"/>
  <c r="R17" i="7"/>
  <c r="R23" i="7" s="1"/>
  <c r="R32" i="1" s="1"/>
  <c r="R38" i="1" s="1"/>
  <c r="R51" i="1" s="1"/>
  <c r="S19" i="7"/>
  <c r="T14" i="7" s="1"/>
  <c r="T16" i="7" s="1"/>
  <c r="S15" i="7"/>
  <c r="V9" i="7"/>
  <c r="W4" i="7" s="1"/>
  <c r="W6" i="7" s="1"/>
  <c r="V5" i="7"/>
  <c r="V7" i="7" s="1"/>
  <c r="W20" i="1"/>
  <c r="AP45" i="5" s="1"/>
  <c r="X18" i="1"/>
  <c r="Q38" i="1"/>
  <c r="W13" i="1" l="1"/>
  <c r="W15" i="1" s="1"/>
  <c r="W22" i="1" s="1"/>
  <c r="AP48" i="5"/>
  <c r="S17" i="7"/>
  <c r="S23" i="7" s="1"/>
  <c r="S32" i="1" s="1"/>
  <c r="S38" i="1" s="1"/>
  <c r="S51" i="1" s="1"/>
  <c r="T19" i="7"/>
  <c r="U14" i="7" s="1"/>
  <c r="U16" i="7" s="1"/>
  <c r="T15" i="7"/>
  <c r="Y18" i="1"/>
  <c r="X20" i="1"/>
  <c r="AQ45" i="5" s="1"/>
  <c r="W52" i="1"/>
  <c r="W29" i="1"/>
  <c r="W5" i="7"/>
  <c r="W9" i="7"/>
  <c r="X4" i="7" s="1"/>
  <c r="X6" i="7" s="1"/>
  <c r="Q51" i="1"/>
  <c r="V52" i="1"/>
  <c r="V29" i="1"/>
  <c r="X13" i="1" l="1"/>
  <c r="X15" i="1" s="1"/>
  <c r="X22" i="1" s="1"/>
  <c r="AQ48" i="5"/>
  <c r="T17" i="7"/>
  <c r="T23" i="7" s="1"/>
  <c r="T32" i="1" s="1"/>
  <c r="T38" i="1" s="1"/>
  <c r="X9" i="7"/>
  <c r="Y4" i="7" s="1"/>
  <c r="Y6" i="7" s="1"/>
  <c r="X5" i="7"/>
  <c r="X7" i="7" s="1"/>
  <c r="X52" i="1"/>
  <c r="X29" i="1"/>
  <c r="Y20" i="1"/>
  <c r="AR45" i="5" s="1"/>
  <c r="Z18" i="1"/>
  <c r="W7" i="7"/>
  <c r="U15" i="7"/>
  <c r="U19" i="7"/>
  <c r="V14" i="7" s="1"/>
  <c r="V16" i="7" s="1"/>
  <c r="Y13" i="1" l="1"/>
  <c r="Y15" i="1" s="1"/>
  <c r="Y22" i="1" s="1"/>
  <c r="AR48" i="5"/>
  <c r="V19" i="7"/>
  <c r="W14" i="7" s="1"/>
  <c r="W16" i="7" s="1"/>
  <c r="V15" i="7"/>
  <c r="Z20" i="1"/>
  <c r="AS45" i="5" s="1"/>
  <c r="AA18" i="1"/>
  <c r="D12" i="8"/>
  <c r="U17" i="7"/>
  <c r="U23" i="7" s="1"/>
  <c r="U32" i="1" s="1"/>
  <c r="Y9" i="7"/>
  <c r="Z4" i="7" s="1"/>
  <c r="Z6" i="7" s="1"/>
  <c r="Y5" i="7"/>
  <c r="Y52" i="1"/>
  <c r="Y29" i="1"/>
  <c r="T51" i="1"/>
  <c r="Z13" i="1" l="1"/>
  <c r="AS48" i="5"/>
  <c r="Y7" i="7"/>
  <c r="Z15" i="1"/>
  <c r="Z22" i="1" s="1"/>
  <c r="D6" i="8"/>
  <c r="V17" i="7"/>
  <c r="V23" i="7" s="1"/>
  <c r="V32" i="1" s="1"/>
  <c r="V38" i="1" s="1"/>
  <c r="V51" i="1" s="1"/>
  <c r="W15" i="7"/>
  <c r="W19" i="7"/>
  <c r="X14" i="7" s="1"/>
  <c r="X16" i="7" s="1"/>
  <c r="U38" i="1"/>
  <c r="D14" i="8"/>
  <c r="Z9" i="7"/>
  <c r="AA4" i="7" s="1"/>
  <c r="AA6" i="7" s="1"/>
  <c r="Z5" i="7"/>
  <c r="Z7" i="7" s="1"/>
  <c r="AB18" i="1"/>
  <c r="AA20" i="1"/>
  <c r="AT45" i="5" s="1"/>
  <c r="AA13" i="1" l="1"/>
  <c r="AA15" i="1" s="1"/>
  <c r="AA22" i="1" s="1"/>
  <c r="AT48" i="5"/>
  <c r="AA9" i="7"/>
  <c r="AB4" i="7" s="1"/>
  <c r="AB6" i="7" s="1"/>
  <c r="AA5" i="7"/>
  <c r="AA7" i="7" s="1"/>
  <c r="X15" i="7"/>
  <c r="X19" i="7"/>
  <c r="Y14" i="7" s="1"/>
  <c r="Y16" i="7" s="1"/>
  <c r="Z52" i="1"/>
  <c r="Z29" i="1"/>
  <c r="D16" i="8"/>
  <c r="D34" i="8" s="1"/>
  <c r="AB20" i="1"/>
  <c r="AU45" i="5" s="1"/>
  <c r="AC18" i="1"/>
  <c r="U51" i="1"/>
  <c r="W17" i="7"/>
  <c r="W23" i="7" s="1"/>
  <c r="W32" i="1" s="1"/>
  <c r="AB13" i="1" l="1"/>
  <c r="AB15" i="1" s="1"/>
  <c r="AB22" i="1" s="1"/>
  <c r="AU48" i="5"/>
  <c r="Y19" i="7"/>
  <c r="Z14" i="7" s="1"/>
  <c r="Z16" i="7" s="1"/>
  <c r="Y15" i="7"/>
  <c r="AB9" i="7"/>
  <c r="AC4" i="7" s="1"/>
  <c r="AC6" i="7" s="1"/>
  <c r="AB5" i="7"/>
  <c r="X17" i="7"/>
  <c r="X23" i="7" s="1"/>
  <c r="X32" i="1" s="1"/>
  <c r="X38" i="1" s="1"/>
  <c r="X51" i="1" s="1"/>
  <c r="W38" i="1"/>
  <c r="D21" i="8"/>
  <c r="AC20" i="1"/>
  <c r="AV45" i="5" s="1"/>
  <c r="AD18" i="1"/>
  <c r="AB29" i="1"/>
  <c r="AB52" i="1"/>
  <c r="AA29" i="1"/>
  <c r="AA52" i="1"/>
  <c r="AC13" i="1" l="1"/>
  <c r="AC15" i="1" s="1"/>
  <c r="AC22" i="1" s="1"/>
  <c r="AV48" i="5"/>
  <c r="Y17" i="7"/>
  <c r="Y23" i="7" s="1"/>
  <c r="Y32" i="1" s="1"/>
  <c r="Y38" i="1" s="1"/>
  <c r="Y51" i="1" s="1"/>
  <c r="AC5" i="7"/>
  <c r="AC9" i="7"/>
  <c r="AD4" i="7" s="1"/>
  <c r="AD6" i="7" s="1"/>
  <c r="Z19" i="7"/>
  <c r="AA14" i="7" s="1"/>
  <c r="AA16" i="7" s="1"/>
  <c r="Z15" i="7"/>
  <c r="AB7" i="7"/>
  <c r="AD20" i="1"/>
  <c r="AW45" i="5" s="1"/>
  <c r="AE18" i="1"/>
  <c r="AC52" i="1"/>
  <c r="AC29" i="1"/>
  <c r="W51" i="1"/>
  <c r="AD13" i="1" l="1"/>
  <c r="AD15" i="1" s="1"/>
  <c r="AD22" i="1" s="1"/>
  <c r="AW48" i="5"/>
  <c r="Z17" i="7"/>
  <c r="Z23" i="7" s="1"/>
  <c r="Z32" i="1" s="1"/>
  <c r="D23" i="8" s="1"/>
  <c r="AA19" i="7"/>
  <c r="AB14" i="7" s="1"/>
  <c r="AB16" i="7" s="1"/>
  <c r="AA15" i="7"/>
  <c r="AD52" i="1"/>
  <c r="AD29" i="1"/>
  <c r="AE20" i="1"/>
  <c r="AX45" i="5" s="1"/>
  <c r="AF18" i="1"/>
  <c r="AD9" i="7"/>
  <c r="AE4" i="7" s="1"/>
  <c r="AE6" i="7" s="1"/>
  <c r="AD5" i="7"/>
  <c r="AD7" i="7" s="1"/>
  <c r="AC7" i="7"/>
  <c r="AE13" i="1" l="1"/>
  <c r="AE15" i="1" s="1"/>
  <c r="AE22" i="1" s="1"/>
  <c r="AE29" i="1" s="1"/>
  <c r="AX48" i="5"/>
  <c r="Z38" i="1"/>
  <c r="Z51" i="1" s="1"/>
  <c r="D30" i="8" s="1"/>
  <c r="AA17" i="7"/>
  <c r="AA23" i="7" s="1"/>
  <c r="AA32" i="1" s="1"/>
  <c r="AA38" i="1" s="1"/>
  <c r="AB19" i="7"/>
  <c r="AC14" i="7" s="1"/>
  <c r="AC16" i="7" s="1"/>
  <c r="AB15" i="7"/>
  <c r="AE5" i="7"/>
  <c r="AE9" i="7"/>
  <c r="AF4" i="7" s="1"/>
  <c r="AF6" i="7" s="1"/>
  <c r="AF20" i="1"/>
  <c r="AY45" i="5" s="1"/>
  <c r="AG18" i="1"/>
  <c r="AE52" i="1"/>
  <c r="AF13" i="1" l="1"/>
  <c r="AF15" i="1" s="1"/>
  <c r="AF22" i="1" s="1"/>
  <c r="AY48" i="5"/>
  <c r="D26" i="8"/>
  <c r="D35" i="8" s="1"/>
  <c r="AB17" i="7"/>
  <c r="AB23" i="7" s="1"/>
  <c r="AB32" i="1" s="1"/>
  <c r="AB38" i="1" s="1"/>
  <c r="AB51" i="1" s="1"/>
  <c r="AG20" i="1"/>
  <c r="AZ45" i="5" s="1"/>
  <c r="AH18" i="1"/>
  <c r="AF9" i="7"/>
  <c r="AG4" i="7" s="1"/>
  <c r="AG6" i="7" s="1"/>
  <c r="AF5" i="7"/>
  <c r="AF7" i="7" s="1"/>
  <c r="AA51" i="1"/>
  <c r="AC19" i="7"/>
  <c r="AD14" i="7" s="1"/>
  <c r="AD16" i="7" s="1"/>
  <c r="AC15" i="7"/>
  <c r="AE7" i="7"/>
  <c r="AG13" i="1" l="1"/>
  <c r="AG15" i="1" s="1"/>
  <c r="AG22" i="1" s="1"/>
  <c r="AZ48" i="5"/>
  <c r="AC17" i="7"/>
  <c r="AC23" i="7" s="1"/>
  <c r="AC32" i="1" s="1"/>
  <c r="AC38" i="1" s="1"/>
  <c r="AD19" i="7"/>
  <c r="AE14" i="7" s="1"/>
  <c r="AE16" i="7" s="1"/>
  <c r="AD15" i="7"/>
  <c r="AF52" i="1"/>
  <c r="AF29" i="1"/>
  <c r="AG9" i="7"/>
  <c r="AH4" i="7" s="1"/>
  <c r="AH6" i="7" s="1"/>
  <c r="AG5" i="7"/>
  <c r="AG7" i="7" s="1"/>
  <c r="AH20" i="1"/>
  <c r="BA45" i="5" s="1"/>
  <c r="AI18" i="1"/>
  <c r="AG52" i="1"/>
  <c r="AG29" i="1"/>
  <c r="AH13" i="1" l="1"/>
  <c r="AH15" i="1" s="1"/>
  <c r="AH22" i="1" s="1"/>
  <c r="AH29" i="1" s="1"/>
  <c r="BA48" i="5"/>
  <c r="AD17" i="7"/>
  <c r="AD23" i="7" s="1"/>
  <c r="AD32" i="1" s="1"/>
  <c r="AD38" i="1" s="1"/>
  <c r="AD51" i="1" s="1"/>
  <c r="AJ18" i="1"/>
  <c r="AI20" i="1"/>
  <c r="BB45" i="5" s="1"/>
  <c r="AH5" i="7"/>
  <c r="AH9" i="7"/>
  <c r="AI4" i="7" s="1"/>
  <c r="AI6" i="7" s="1"/>
  <c r="AE19" i="7"/>
  <c r="AF14" i="7" s="1"/>
  <c r="AF16" i="7" s="1"/>
  <c r="AE15" i="7"/>
  <c r="AC51" i="1"/>
  <c r="AH52" i="1" l="1"/>
  <c r="AI13" i="1"/>
  <c r="AI15" i="1" s="1"/>
  <c r="AI22" i="1" s="1"/>
  <c r="BB48" i="5"/>
  <c r="AE17" i="7"/>
  <c r="AE23" i="7" s="1"/>
  <c r="AE32" i="1" s="1"/>
  <c r="AE38" i="1" s="1"/>
  <c r="AF15" i="7"/>
  <c r="AF19" i="7"/>
  <c r="AG14" i="7" s="1"/>
  <c r="AG16" i="7" s="1"/>
  <c r="AI9" i="7"/>
  <c r="AJ4" i="7" s="1"/>
  <c r="AJ6" i="7" s="1"/>
  <c r="AI5" i="7"/>
  <c r="AI7" i="7" s="1"/>
  <c r="AH7" i="7"/>
  <c r="AI29" i="1"/>
  <c r="AI52" i="1"/>
  <c r="AJ20" i="1"/>
  <c r="BC45" i="5" s="1"/>
  <c r="AK18" i="1"/>
  <c r="AJ13" i="1" l="1"/>
  <c r="AJ15" i="1" s="1"/>
  <c r="AJ22" i="1" s="1"/>
  <c r="BC48" i="5"/>
  <c r="AJ5" i="7"/>
  <c r="AJ9" i="7"/>
  <c r="AK4" i="7" s="1"/>
  <c r="AK6" i="7" s="1"/>
  <c r="AG15" i="7"/>
  <c r="AG19" i="7"/>
  <c r="AH14" i="7" s="1"/>
  <c r="AH16" i="7" s="1"/>
  <c r="AK20" i="1"/>
  <c r="BD45" i="5" s="1"/>
  <c r="AL18" i="1"/>
  <c r="AE51" i="1"/>
  <c r="AJ29" i="1"/>
  <c r="AJ52" i="1"/>
  <c r="AF17" i="7"/>
  <c r="AF23" i="7" s="1"/>
  <c r="AF32" i="1" s="1"/>
  <c r="AK13" i="1" l="1"/>
  <c r="AK15" i="1" s="1"/>
  <c r="AK22" i="1" s="1"/>
  <c r="AK29" i="1" s="1"/>
  <c r="BD48" i="5"/>
  <c r="AH15" i="7"/>
  <c r="AH19" i="7"/>
  <c r="AI14" i="7" s="1"/>
  <c r="AI16" i="7" s="1"/>
  <c r="AK9" i="7"/>
  <c r="AL4" i="7" s="1"/>
  <c r="AL6" i="7" s="1"/>
  <c r="AK5" i="7"/>
  <c r="AK7" i="7" s="1"/>
  <c r="AL20" i="1"/>
  <c r="BE45" i="5" s="1"/>
  <c r="AM18" i="1"/>
  <c r="E12" i="8"/>
  <c r="AK52" i="1"/>
  <c r="AG17" i="7"/>
  <c r="AG23" i="7" s="1"/>
  <c r="AG32" i="1" s="1"/>
  <c r="AG38" i="1" s="1"/>
  <c r="AG51" i="1" s="1"/>
  <c r="AJ7" i="7"/>
  <c r="AF38" i="1"/>
  <c r="AL13" i="1" l="1"/>
  <c r="BE48" i="5"/>
  <c r="AL15" i="1"/>
  <c r="AL22" i="1" s="1"/>
  <c r="E6" i="8"/>
  <c r="AL5" i="7"/>
  <c r="AL7" i="7" s="1"/>
  <c r="AL9" i="7"/>
  <c r="AM4" i="7" s="1"/>
  <c r="AM6" i="7" s="1"/>
  <c r="AI19" i="7"/>
  <c r="AJ14" i="7" s="1"/>
  <c r="AJ16" i="7" s="1"/>
  <c r="AI15" i="7"/>
  <c r="AM20" i="1"/>
  <c r="BF45" i="5" s="1"/>
  <c r="AN18" i="1"/>
  <c r="AF51" i="1"/>
  <c r="E14" i="8"/>
  <c r="AH17" i="7"/>
  <c r="AH23" i="7" s="1"/>
  <c r="AH32" i="1" s="1"/>
  <c r="AM13" i="1" l="1"/>
  <c r="BF48" i="5"/>
  <c r="AM15" i="1"/>
  <c r="AM22" i="1" s="1"/>
  <c r="AI17" i="7"/>
  <c r="AI23" i="7" s="1"/>
  <c r="AI32" i="1" s="1"/>
  <c r="AI38" i="1" s="1"/>
  <c r="AI51" i="1" s="1"/>
  <c r="AJ19" i="7"/>
  <c r="AK14" i="7" s="1"/>
  <c r="AK16" i="7" s="1"/>
  <c r="AJ15" i="7"/>
  <c r="AL52" i="1"/>
  <c r="AL29" i="1"/>
  <c r="E16" i="8"/>
  <c r="E34" i="8" s="1"/>
  <c r="AM5" i="7"/>
  <c r="AM9" i="7"/>
  <c r="AN4" i="7" s="1"/>
  <c r="AN6" i="7" s="1"/>
  <c r="AH38" i="1"/>
  <c r="AO18" i="1"/>
  <c r="AN20" i="1"/>
  <c r="BG45" i="5" s="1"/>
  <c r="AN13" i="1" l="1"/>
  <c r="AN15" i="1" s="1"/>
  <c r="AN22" i="1" s="1"/>
  <c r="BG48" i="5"/>
  <c r="AJ17" i="7"/>
  <c r="AJ23" i="7" s="1"/>
  <c r="AJ32" i="1" s="1"/>
  <c r="AJ38" i="1" s="1"/>
  <c r="AJ51" i="1" s="1"/>
  <c r="AN5" i="7"/>
  <c r="AN9" i="7"/>
  <c r="AO4" i="7" s="1"/>
  <c r="AO6" i="7" s="1"/>
  <c r="AN52" i="1"/>
  <c r="AN29" i="1"/>
  <c r="AP18" i="1"/>
  <c r="AO20" i="1"/>
  <c r="BH45" i="5" s="1"/>
  <c r="E21" i="8"/>
  <c r="AH51" i="1"/>
  <c r="AK19" i="7"/>
  <c r="AL14" i="7" s="1"/>
  <c r="AL16" i="7" s="1"/>
  <c r="AK15" i="7"/>
  <c r="AM7" i="7"/>
  <c r="AM52" i="1"/>
  <c r="AM29" i="1"/>
  <c r="AO13" i="1" l="1"/>
  <c r="AO15" i="1" s="1"/>
  <c r="AO22" i="1" s="1"/>
  <c r="BH48" i="5"/>
  <c r="AK17" i="7"/>
  <c r="AK23" i="7" s="1"/>
  <c r="AK32" i="1" s="1"/>
  <c r="AK38" i="1" s="1"/>
  <c r="AK51" i="1" s="1"/>
  <c r="AO52" i="1"/>
  <c r="AO29" i="1"/>
  <c r="AL19" i="7"/>
  <c r="AM14" i="7" s="1"/>
  <c r="AM16" i="7" s="1"/>
  <c r="AL15" i="7"/>
  <c r="AQ18" i="1"/>
  <c r="AP20" i="1"/>
  <c r="BI45" i="5" s="1"/>
  <c r="AO9" i="7"/>
  <c r="AP4" i="7" s="1"/>
  <c r="AP6" i="7" s="1"/>
  <c r="AO5" i="7"/>
  <c r="AN7" i="7"/>
  <c r="AP13" i="1" l="1"/>
  <c r="AP15" i="1" s="1"/>
  <c r="AP22" i="1" s="1"/>
  <c r="BI48" i="5"/>
  <c r="AO7" i="7"/>
  <c r="AL17" i="7"/>
  <c r="AL23" i="7" s="1"/>
  <c r="AL32" i="1" s="1"/>
  <c r="E23" i="8" s="1"/>
  <c r="AP5" i="7"/>
  <c r="AP9" i="7"/>
  <c r="AQ4" i="7" s="1"/>
  <c r="AQ6" i="7" s="1"/>
  <c r="AP52" i="1"/>
  <c r="AP29" i="1"/>
  <c r="AR18" i="1"/>
  <c r="AQ20" i="1"/>
  <c r="BJ45" i="5" s="1"/>
  <c r="AM15" i="7"/>
  <c r="AM19" i="7"/>
  <c r="AN14" i="7" s="1"/>
  <c r="AN16" i="7" s="1"/>
  <c r="AQ13" i="1" l="1"/>
  <c r="AQ15" i="1" s="1"/>
  <c r="AQ22" i="1" s="1"/>
  <c r="BJ48" i="5"/>
  <c r="AL38" i="1"/>
  <c r="AL51" i="1" s="1"/>
  <c r="E30" i="8" s="1"/>
  <c r="AN15" i="7"/>
  <c r="AN19" i="7"/>
  <c r="AO14" i="7" s="1"/>
  <c r="AO16" i="7" s="1"/>
  <c r="AQ9" i="7"/>
  <c r="AR4" i="7" s="1"/>
  <c r="AR6" i="7" s="1"/>
  <c r="AQ5" i="7"/>
  <c r="AQ7" i="7" s="1"/>
  <c r="AQ29" i="1"/>
  <c r="AQ52" i="1"/>
  <c r="AR20" i="1"/>
  <c r="BK45" i="5" s="1"/>
  <c r="AS18" i="1"/>
  <c r="AM17" i="7"/>
  <c r="AM23" i="7" s="1"/>
  <c r="AM32" i="1" s="1"/>
  <c r="AP7" i="7"/>
  <c r="AR13" i="1" l="1"/>
  <c r="AR15" i="1" s="1"/>
  <c r="AR22" i="1" s="1"/>
  <c r="BK48" i="5"/>
  <c r="E26" i="8"/>
  <c r="E35" i="8" s="1"/>
  <c r="AO15" i="7"/>
  <c r="AO19" i="7"/>
  <c r="AP14" i="7" s="1"/>
  <c r="AP16" i="7" s="1"/>
  <c r="AM38" i="1"/>
  <c r="AR9" i="7"/>
  <c r="AS4" i="7" s="1"/>
  <c r="AS6" i="7" s="1"/>
  <c r="AR5" i="7"/>
  <c r="AT18" i="1"/>
  <c r="AS20" i="1"/>
  <c r="BL45" i="5" s="1"/>
  <c r="AR29" i="1"/>
  <c r="AR52" i="1"/>
  <c r="AN17" i="7"/>
  <c r="AN23" i="7" s="1"/>
  <c r="AN32" i="1" s="1"/>
  <c r="AN38" i="1" s="1"/>
  <c r="AN51" i="1" s="1"/>
  <c r="AS13" i="1" l="1"/>
  <c r="AS15" i="1" s="1"/>
  <c r="AS22" i="1" s="1"/>
  <c r="BL48" i="5"/>
  <c r="AS9" i="7"/>
  <c r="AT4" i="7" s="1"/>
  <c r="AT6" i="7" s="1"/>
  <c r="AS5" i="7"/>
  <c r="AS7" i="7" s="1"/>
  <c r="AP19" i="7"/>
  <c r="AQ14" i="7" s="1"/>
  <c r="AQ16" i="7" s="1"/>
  <c r="AP15" i="7"/>
  <c r="AM51" i="1"/>
  <c r="AS52" i="1"/>
  <c r="AS29" i="1"/>
  <c r="AT20" i="1"/>
  <c r="BM45" i="5" s="1"/>
  <c r="AU18" i="1"/>
  <c r="AR7" i="7"/>
  <c r="AO17" i="7"/>
  <c r="AO23" i="7" s="1"/>
  <c r="AO32" i="1" s="1"/>
  <c r="AT13" i="1" l="1"/>
  <c r="AT15" i="1" s="1"/>
  <c r="AT22" i="1" s="1"/>
  <c r="BM48" i="5"/>
  <c r="AP17" i="7"/>
  <c r="AP23" i="7" s="1"/>
  <c r="AP32" i="1" s="1"/>
  <c r="AP38" i="1" s="1"/>
  <c r="AP51" i="1" s="1"/>
  <c r="AQ19" i="7"/>
  <c r="AR14" i="7" s="1"/>
  <c r="AR16" i="7" s="1"/>
  <c r="AQ15" i="7"/>
  <c r="AT9" i="7"/>
  <c r="AU4" i="7" s="1"/>
  <c r="AU6" i="7" s="1"/>
  <c r="AT5" i="7"/>
  <c r="AU20" i="1"/>
  <c r="BN45" i="5" s="1"/>
  <c r="AV18" i="1"/>
  <c r="AT29" i="1"/>
  <c r="AT52" i="1"/>
  <c r="AO38" i="1"/>
  <c r="AU13" i="1" l="1"/>
  <c r="AU15" i="1" s="1"/>
  <c r="AU22" i="1" s="1"/>
  <c r="BN48" i="5"/>
  <c r="AQ17" i="7"/>
  <c r="AQ23" i="7" s="1"/>
  <c r="AQ32" i="1" s="1"/>
  <c r="AQ38" i="1" s="1"/>
  <c r="AQ51" i="1" s="1"/>
  <c r="AU5" i="7"/>
  <c r="AU9" i="7"/>
  <c r="AV4" i="7" s="1"/>
  <c r="AV6" i="7" s="1"/>
  <c r="AW18" i="1"/>
  <c r="AV20" i="1"/>
  <c r="BO45" i="5" s="1"/>
  <c r="AU52" i="1"/>
  <c r="AU29" i="1"/>
  <c r="AO51" i="1"/>
  <c r="AT7" i="7"/>
  <c r="AR19" i="7"/>
  <c r="AS14" i="7" s="1"/>
  <c r="AS16" i="7" s="1"/>
  <c r="AR15" i="7"/>
  <c r="AV13" i="1" l="1"/>
  <c r="AV15" i="1" s="1"/>
  <c r="AV22" i="1" s="1"/>
  <c r="BO48" i="5"/>
  <c r="AR17" i="7"/>
  <c r="AR23" i="7" s="1"/>
  <c r="AR32" i="1" s="1"/>
  <c r="AR38" i="1" s="1"/>
  <c r="AR51" i="1" s="1"/>
  <c r="AV5" i="7"/>
  <c r="AV9" i="7"/>
  <c r="AW4" i="7" s="1"/>
  <c r="AW6" i="7" s="1"/>
  <c r="AS19" i="7"/>
  <c r="AT14" i="7" s="1"/>
  <c r="AT16" i="7" s="1"/>
  <c r="AS15" i="7"/>
  <c r="AV52" i="1"/>
  <c r="AV29" i="1"/>
  <c r="AX18" i="1"/>
  <c r="AW20" i="1"/>
  <c r="BP45" i="5" s="1"/>
  <c r="AU7" i="7"/>
  <c r="AW13" i="1" l="1"/>
  <c r="AW15" i="1" s="1"/>
  <c r="AW22" i="1" s="1"/>
  <c r="AW29" i="1" s="1"/>
  <c r="BP48" i="5"/>
  <c r="AV7" i="7"/>
  <c r="AW5" i="7"/>
  <c r="AW9" i="7"/>
  <c r="AX4" i="7" s="1"/>
  <c r="AX6" i="7" s="1"/>
  <c r="AT19" i="7"/>
  <c r="AU14" i="7" s="1"/>
  <c r="AU16" i="7" s="1"/>
  <c r="AT15" i="7"/>
  <c r="AS17" i="7"/>
  <c r="AS23" i="7" s="1"/>
  <c r="AS32" i="1" s="1"/>
  <c r="AW52" i="1"/>
  <c r="AY18" i="1"/>
  <c r="AX20" i="1"/>
  <c r="BQ45" i="5" s="1"/>
  <c r="F12" i="8"/>
  <c r="AX13" i="1" l="1"/>
  <c r="BQ48" i="5"/>
  <c r="AX15" i="1"/>
  <c r="AX22" i="1" s="1"/>
  <c r="F6" i="8"/>
  <c r="AU19" i="7"/>
  <c r="AV14" i="7" s="1"/>
  <c r="AV16" i="7" s="1"/>
  <c r="AU15" i="7"/>
  <c r="AX5" i="7"/>
  <c r="AX9" i="7"/>
  <c r="AY4" i="7" s="1"/>
  <c r="AY6" i="7" s="1"/>
  <c r="AZ18" i="1"/>
  <c r="AY20" i="1"/>
  <c r="BR45" i="5" s="1"/>
  <c r="AS38" i="1"/>
  <c r="AT17" i="7"/>
  <c r="AT23" i="7" s="1"/>
  <c r="AT32" i="1" s="1"/>
  <c r="AT38" i="1" s="1"/>
  <c r="AT51" i="1" s="1"/>
  <c r="F14" i="8"/>
  <c r="AW7" i="7"/>
  <c r="AY13" i="1" l="1"/>
  <c r="BR48" i="5"/>
  <c r="AX7" i="7"/>
  <c r="AY15" i="1"/>
  <c r="AY22" i="1" s="1"/>
  <c r="AV15" i="7"/>
  <c r="AV19" i="7"/>
  <c r="AW14" i="7" s="1"/>
  <c r="AW16" i="7" s="1"/>
  <c r="AY9" i="7"/>
  <c r="AZ4" i="7" s="1"/>
  <c r="AZ6" i="7" s="1"/>
  <c r="AY5" i="7"/>
  <c r="AY7" i="7" s="1"/>
  <c r="AZ20" i="1"/>
  <c r="BS45" i="5" s="1"/>
  <c r="BA18" i="1"/>
  <c r="AU17" i="7"/>
  <c r="AU23" i="7" s="1"/>
  <c r="AU32" i="1" s="1"/>
  <c r="AU38" i="1" s="1"/>
  <c r="AU51" i="1" s="1"/>
  <c r="AS51" i="1"/>
  <c r="AX29" i="1"/>
  <c r="AX52" i="1"/>
  <c r="F16" i="8"/>
  <c r="F34" i="8" s="1"/>
  <c r="AZ13" i="1" l="1"/>
  <c r="AZ15" i="1" s="1"/>
  <c r="AZ22" i="1" s="1"/>
  <c r="AZ29" i="1" s="1"/>
  <c r="BS48" i="5"/>
  <c r="AV17" i="7"/>
  <c r="AV23" i="7" s="1"/>
  <c r="AV32" i="1" s="1"/>
  <c r="AV38" i="1" s="1"/>
  <c r="AV51" i="1" s="1"/>
  <c r="AZ5" i="7"/>
  <c r="AZ7" i="7" s="1"/>
  <c r="AZ9" i="7"/>
  <c r="BA4" i="7" s="1"/>
  <c r="BA6" i="7" s="1"/>
  <c r="AW15" i="7"/>
  <c r="AW19" i="7"/>
  <c r="AX14" i="7" s="1"/>
  <c r="AX16" i="7" s="1"/>
  <c r="AY29" i="1"/>
  <c r="AY52" i="1"/>
  <c r="AZ52" i="1"/>
  <c r="F21" i="8"/>
  <c r="BA20" i="1"/>
  <c r="BT45" i="5" s="1"/>
  <c r="BB18" i="1"/>
  <c r="BA13" i="1" l="1"/>
  <c r="BA15" i="1" s="1"/>
  <c r="BA22" i="1" s="1"/>
  <c r="BT48" i="5"/>
  <c r="AW17" i="7"/>
  <c r="AW23" i="7" s="1"/>
  <c r="AW32" i="1" s="1"/>
  <c r="AW38" i="1" s="1"/>
  <c r="AW51" i="1" s="1"/>
  <c r="AX19" i="7"/>
  <c r="AY14" i="7" s="1"/>
  <c r="AY16" i="7" s="1"/>
  <c r="AX15" i="7"/>
  <c r="BA9" i="7"/>
  <c r="BB4" i="7" s="1"/>
  <c r="BB6" i="7" s="1"/>
  <c r="BA5" i="7"/>
  <c r="BA7" i="7" s="1"/>
  <c r="BB20" i="1"/>
  <c r="BU45" i="5" s="1"/>
  <c r="BC18" i="1"/>
  <c r="BB13" i="1" l="1"/>
  <c r="BB15" i="1" s="1"/>
  <c r="BB22" i="1" s="1"/>
  <c r="BU48" i="5"/>
  <c r="BB5" i="7"/>
  <c r="BB7" i="7" s="1"/>
  <c r="BB9" i="7"/>
  <c r="BC4" i="7" s="1"/>
  <c r="BC6" i="7" s="1"/>
  <c r="AY19" i="7"/>
  <c r="AZ14" i="7" s="1"/>
  <c r="AZ16" i="7" s="1"/>
  <c r="AY15" i="7"/>
  <c r="BC20" i="1"/>
  <c r="BV45" i="5" s="1"/>
  <c r="BD18" i="1"/>
  <c r="BA52" i="1"/>
  <c r="BA29" i="1"/>
  <c r="AX17" i="7"/>
  <c r="AX23" i="7" s="1"/>
  <c r="AX32" i="1" s="1"/>
  <c r="BB52" i="1"/>
  <c r="BB29" i="1"/>
  <c r="BC13" i="1" l="1"/>
  <c r="BC15" i="1" s="1"/>
  <c r="BC22" i="1" s="1"/>
  <c r="BC29" i="1" s="1"/>
  <c r="BV48" i="5"/>
  <c r="AZ19" i="7"/>
  <c r="BA14" i="7" s="1"/>
  <c r="BA16" i="7" s="1"/>
  <c r="AZ15" i="7"/>
  <c r="BE18" i="1"/>
  <c r="BD20" i="1"/>
  <c r="BW45" i="5" s="1"/>
  <c r="F23" i="8"/>
  <c r="AX38" i="1"/>
  <c r="AY17" i="7"/>
  <c r="AY23" i="7" s="1"/>
  <c r="AY32" i="1" s="1"/>
  <c r="BC9" i="7"/>
  <c r="BD4" i="7" s="1"/>
  <c r="BD6" i="7" s="1"/>
  <c r="BC5" i="7"/>
  <c r="BC52" i="1" l="1"/>
  <c r="BD13" i="1"/>
  <c r="BD15" i="1" s="1"/>
  <c r="BD22" i="1" s="1"/>
  <c r="BD52" i="1" s="1"/>
  <c r="BW48" i="5"/>
  <c r="AZ17" i="7"/>
  <c r="AZ23" i="7" s="1"/>
  <c r="AZ32" i="1" s="1"/>
  <c r="AZ38" i="1" s="1"/>
  <c r="AZ51" i="1" s="1"/>
  <c r="BD5" i="7"/>
  <c r="BD9" i="7"/>
  <c r="BE4" i="7" s="1"/>
  <c r="BE6" i="7" s="1"/>
  <c r="AX51" i="1"/>
  <c r="F30" i="8" s="1"/>
  <c r="F26" i="8"/>
  <c r="F35" i="8" s="1"/>
  <c r="BE20" i="1"/>
  <c r="BX45" i="5" s="1"/>
  <c r="BF18" i="1"/>
  <c r="BC7" i="7"/>
  <c r="AY38" i="1"/>
  <c r="BA19" i="7"/>
  <c r="BB14" i="7" s="1"/>
  <c r="BB16" i="7" s="1"/>
  <c r="BA15" i="7"/>
  <c r="BD29" i="1" l="1"/>
  <c r="BE13" i="1"/>
  <c r="BE15" i="1" s="1"/>
  <c r="BE22" i="1" s="1"/>
  <c r="BX48" i="5"/>
  <c r="BE5" i="7"/>
  <c r="BE9" i="7"/>
  <c r="BF4" i="7" s="1"/>
  <c r="BF6" i="7" s="1"/>
  <c r="BB19" i="7"/>
  <c r="BC14" i="7" s="1"/>
  <c r="BC16" i="7" s="1"/>
  <c r="BB15" i="7"/>
  <c r="AY51" i="1"/>
  <c r="BG18" i="1"/>
  <c r="BF20" i="1"/>
  <c r="BY45" i="5" s="1"/>
  <c r="BA17" i="7"/>
  <c r="BA23" i="7" s="1"/>
  <c r="BA32" i="1" s="1"/>
  <c r="BE52" i="1"/>
  <c r="BE29" i="1"/>
  <c r="BD7" i="7"/>
  <c r="BF13" i="1" l="1"/>
  <c r="BF15" i="1" s="1"/>
  <c r="BF22" i="1" s="1"/>
  <c r="BY48" i="5"/>
  <c r="BB17" i="7"/>
  <c r="BB23" i="7" s="1"/>
  <c r="BB32" i="1" s="1"/>
  <c r="BB38" i="1" s="1"/>
  <c r="BB51" i="1" s="1"/>
  <c r="BC19" i="7"/>
  <c r="BD14" i="7" s="1"/>
  <c r="BD16" i="7" s="1"/>
  <c r="BC15" i="7"/>
  <c r="BF5" i="7"/>
  <c r="BF9" i="7"/>
  <c r="BG4" i="7" s="1"/>
  <c r="BG6" i="7" s="1"/>
  <c r="BF52" i="1"/>
  <c r="BF29" i="1"/>
  <c r="BA38" i="1"/>
  <c r="BH18" i="1"/>
  <c r="BG20" i="1"/>
  <c r="BZ45" i="5" s="1"/>
  <c r="BE7" i="7"/>
  <c r="BG13" i="1" l="1"/>
  <c r="BG15" i="1" s="1"/>
  <c r="BG22" i="1" s="1"/>
  <c r="BZ48" i="5"/>
  <c r="BC17" i="7"/>
  <c r="BC23" i="7" s="1"/>
  <c r="BC32" i="1" s="1"/>
  <c r="BC38" i="1" s="1"/>
  <c r="BC51" i="1" s="1"/>
  <c r="BG5" i="7"/>
  <c r="BG9" i="7"/>
  <c r="BH4" i="7" s="1"/>
  <c r="BH6" i="7" s="1"/>
  <c r="BD15" i="7"/>
  <c r="BD19" i="7"/>
  <c r="BE14" i="7" s="1"/>
  <c r="BE16" i="7" s="1"/>
  <c r="BF7" i="7"/>
  <c r="BG29" i="1"/>
  <c r="BG52" i="1"/>
  <c r="BH20" i="1"/>
  <c r="CA45" i="5" s="1"/>
  <c r="BI18" i="1"/>
  <c r="BA51" i="1"/>
  <c r="BH13" i="1" l="1"/>
  <c r="BH15" i="1" s="1"/>
  <c r="BH22" i="1" s="1"/>
  <c r="CA48" i="5"/>
  <c r="BE19" i="7"/>
  <c r="BF14" i="7" s="1"/>
  <c r="BF16" i="7" s="1"/>
  <c r="BE15" i="7"/>
  <c r="BH9" i="7"/>
  <c r="BI4" i="7" s="1"/>
  <c r="BI6" i="7" s="1"/>
  <c r="BH5" i="7"/>
  <c r="BD17" i="7"/>
  <c r="BD23" i="7" s="1"/>
  <c r="BD32" i="1" s="1"/>
  <c r="BJ18" i="1"/>
  <c r="BI20" i="1"/>
  <c r="CB45" i="5" s="1"/>
  <c r="BH29" i="1"/>
  <c r="BH52" i="1"/>
  <c r="BG7" i="7"/>
  <c r="BI13" i="1" l="1"/>
  <c r="BI15" i="1" s="1"/>
  <c r="BI22" i="1" s="1"/>
  <c r="CB48" i="5"/>
  <c r="BF19" i="7"/>
  <c r="BG14" i="7" s="1"/>
  <c r="BG16" i="7" s="1"/>
  <c r="BF15" i="7"/>
  <c r="BD38" i="1"/>
  <c r="BH7" i="7"/>
  <c r="BI9" i="7"/>
  <c r="BJ4" i="7" s="1"/>
  <c r="BI5" i="7"/>
  <c r="BI29" i="1"/>
  <c r="BI52" i="1"/>
  <c r="BE17" i="7"/>
  <c r="BE23" i="7" s="1"/>
  <c r="BE32" i="1" s="1"/>
  <c r="BE38" i="1" s="1"/>
  <c r="BE51" i="1" s="1"/>
  <c r="BJ20" i="1"/>
  <c r="CC45" i="5" s="1"/>
  <c r="G12" i="8"/>
  <c r="BJ13" i="1" l="1"/>
  <c r="CC48" i="5"/>
  <c r="BJ6" i="7"/>
  <c r="BJ8" i="7"/>
  <c r="BJ24" i="7" s="1"/>
  <c r="BJ40" i="1" s="1"/>
  <c r="G28" i="8" s="1"/>
  <c r="BJ15" i="1"/>
  <c r="BJ22" i="1" s="1"/>
  <c r="G6" i="8"/>
  <c r="BG19" i="7"/>
  <c r="BH14" i="7" s="1"/>
  <c r="BH16" i="7" s="1"/>
  <c r="BG15" i="7"/>
  <c r="BJ5" i="7"/>
  <c r="BD51" i="1"/>
  <c r="BF17" i="7"/>
  <c r="BF23" i="7" s="1"/>
  <c r="BF32" i="1" s="1"/>
  <c r="BF38" i="1" s="1"/>
  <c r="BF51" i="1" s="1"/>
  <c r="G14" i="8"/>
  <c r="BI7" i="7"/>
  <c r="BJ9" i="7" l="1"/>
  <c r="BJ7" i="7"/>
  <c r="BG17" i="7"/>
  <c r="BG23" i="7" s="1"/>
  <c r="BG32" i="1" s="1"/>
  <c r="BG38" i="1" s="1"/>
  <c r="BG51" i="1" s="1"/>
  <c r="BJ29" i="1"/>
  <c r="BJ43" i="1"/>
  <c r="BJ44" i="1" s="1"/>
  <c r="G16" i="8"/>
  <c r="G34" i="8" s="1"/>
  <c r="BH19" i="7"/>
  <c r="BI14" i="7" s="1"/>
  <c r="BI16" i="7" s="1"/>
  <c r="BH15" i="7"/>
  <c r="BI19" i="7" l="1"/>
  <c r="BJ14" i="7" s="1"/>
  <c r="BJ16" i="7" s="1"/>
  <c r="BI15" i="7"/>
  <c r="BJ45" i="1"/>
  <c r="BJ52" i="1" s="1"/>
  <c r="G21" i="8"/>
  <c r="BH17" i="7"/>
  <c r="BH23" i="7" s="1"/>
  <c r="BH32" i="1" s="1"/>
  <c r="BH38" i="1" s="1"/>
  <c r="BJ18" i="7" l="1"/>
  <c r="BH51" i="1"/>
  <c r="BJ15" i="7"/>
  <c r="BI17" i="7"/>
  <c r="BI23" i="7" s="1"/>
  <c r="BI32" i="1" s="1"/>
  <c r="BI38" i="1" s="1"/>
  <c r="BI51" i="1" s="1"/>
  <c r="BJ25" i="7" l="1"/>
  <c r="BJ46" i="1" s="1"/>
  <c r="BJ47" i="1" s="1"/>
  <c r="G29" i="8" s="1"/>
  <c r="BJ17" i="7"/>
  <c r="BJ23" i="7" s="1"/>
  <c r="BJ32" i="1" s="1"/>
  <c r="BJ19" i="7"/>
  <c r="G23" i="8" l="1"/>
  <c r="BJ38" i="1"/>
  <c r="BJ51" i="1" l="1"/>
  <c r="G26" i="8"/>
  <c r="G35" i="8" s="1"/>
  <c r="G30" i="8" l="1"/>
  <c r="C10" i="1" l="1"/>
  <c r="C8" i="8" s="1"/>
  <c r="C11" i="1" l="1"/>
  <c r="C25" i="8"/>
  <c r="C9" i="8"/>
  <c r="C20" i="1" l="1"/>
  <c r="V45" i="5" s="1"/>
  <c r="C13" i="8"/>
  <c r="C13" i="1" l="1"/>
  <c r="V48" i="5"/>
  <c r="C6" i="8"/>
  <c r="C15" i="1"/>
  <c r="C22" i="1" s="1"/>
  <c r="C52" i="1" s="1"/>
  <c r="C56" i="1" s="1"/>
  <c r="C14" i="8"/>
  <c r="L5" i="2" l="1"/>
  <c r="C17" i="2"/>
  <c r="L8" i="2" s="1"/>
  <c r="C16" i="8"/>
  <c r="C34" i="8" s="1"/>
  <c r="C29" i="1"/>
  <c r="C21" i="8" l="1"/>
  <c r="C38" i="1"/>
  <c r="C58" i="1" s="1" a="1"/>
  <c r="C58" i="1" s="1"/>
  <c r="C26" i="8" l="1"/>
  <c r="C35" i="8" s="1"/>
  <c r="C51" i="1"/>
  <c r="L7" i="2"/>
  <c r="C57" i="1" l="1"/>
  <c r="L6" i="2" s="1"/>
  <c r="C55" i="1"/>
  <c r="L4" i="2" s="1"/>
  <c r="C30" i="8"/>
  <c r="C59" i="1"/>
  <c r="L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tc={2EFA4F2C-C3D3-4486-8A65-5A9382EBDC34}</author>
    <author>tc={959D2446-A04E-4B5B-96E3-E0645F1F4A7E}</author>
    <author>tc={B127F576-31B1-4C22-974E-DB0363D49641}</author>
  </authors>
  <commentList>
    <comment ref="B8" authorId="0" shapeId="0" xr:uid="{00000000-0006-0000-00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growth on this rn</t>
        </r>
      </text>
    </comment>
    <comment ref="C18" authorId="0" shapeId="0" xr:uid="{00000000-0006-0000-0000-000004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THIS is a simple assumption - we can get more complex with this and line items</t>
        </r>
      </text>
    </comment>
    <comment ref="B28" authorId="1" shapeId="0" xr:uid="{2EFA4F2C-C3D3-4486-8A65-5A9382EBDC3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driving anything yet - just for a check</t>
      </text>
    </comment>
    <comment ref="B33" authorId="0" shapeId="0" xr:uid="{00000000-0006-0000-00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growth on this</t>
        </r>
      </text>
    </comment>
    <comment ref="B34" authorId="2" shapeId="0" xr:uid="{959D2446-A04E-4B5B-96E3-E0645F1F4A7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want to double count this, because its already in sources and uses, so 0 it out</t>
      </text>
    </comment>
    <comment ref="B36" authorId="0" shapeId="0" xr:uid="{00000000-0006-0000-0000-00000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growth on this</t>
        </r>
      </text>
    </comment>
    <comment ref="B43" authorId="3" shapeId="0" xr:uid="{B127F576-31B1-4C22-974E-DB0363D49641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Important: this is currently just multiplying the monthly NOI by 12, not doing a T12, need to change?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7" authorId="0" shapeId="0" xr:uid="{00000000-0006-0000-0500-000001000000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taking the expected Value of the TI cost, so if you know its gonna be a new lease - adjust in the rent roll the $/sf TI cost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tc={E7BBF76A-7F0E-4BFE-A590-57FDF07E0D82}</author>
    <author>tc={D1947AF7-B49A-4235-80A8-F483FC801570}</author>
    <author>tc={FDB3AA9E-C013-4C40-919F-4FA6D862E464}</author>
    <author>tc={721372E8-F665-4B04-AEE8-1A71885799D1}</author>
    <author>tc={985571A3-8F17-40BD-A05C-6A0D9873B6F9}</author>
  </authors>
  <commentList>
    <comment ref="I3" authorId="0" shapeId="0" xr:uid="{E7BBF76A-7F0E-4BFE-A590-57FDF07E0D82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 will pick up any text as “MTM” lease, and a blank cell or “0” as VACANT</t>
      </text>
    </comment>
    <comment ref="M3" authorId="1" shapeId="0" xr:uid="{D1947AF7-B49A-4235-80A8-F483FC801570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will be to go to Overview percent, can manually change here</t>
      </text>
    </comment>
    <comment ref="O3" authorId="2" shapeId="0" xr:uid="{FDB3AA9E-C013-4C40-919F-4FA6D862E464}">
      <text>
        <t>[Threaded comment]
Your version of Excel allows you to read this threaded comment; however, any edits to it will get removed if the file is opened in a newer version of Excel. Learn more: https://go.microsoft.com/fwlink/?linkid=870924
Comment:
    When it’s a Vacant - this wont drive anything</t>
      </text>
    </comment>
    <comment ref="Q3" authorId="3" shapeId="0" xr:uid="{721372E8-F665-4B04-AEE8-1A71885799D1}">
      <text>
        <t>[Threaded comment]
Your version of Excel allows you to read this threaded comment; however, any edits to it will get removed if the file is opened in a newer version of Excel. Learn more: https://go.microsoft.com/fwlink/?linkid=870924
Comment:
    IF its Vacant or a MTM and we’re assuming a new lease - set these equal to the Renewal $/Sf</t>
      </text>
    </comment>
    <comment ref="U3" authorId="4" shapeId="0" xr:uid="{985571A3-8F17-40BD-A05C-6A0D9873B6F9}">
      <text>
        <t>[Threaded comment]
Your version of Excel allows you to read this threaded comment; however, any edits to it will get removed if the file is opened in a newer version of Excel. Learn more: https://go.microsoft.com/fwlink/?linkid=870924
Comment:
    Have to go in and Hard code just the vacant units, leave all the rest as 0, unless you want to change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tc={D7E79431-4372-4F70-8E89-810D9A26333C}</author>
  </authors>
  <commentList>
    <comment ref="C4" authorId="0" shapeId="0" xr:uid="{00000000-0006-0000-03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This row is being pulled directly from the OM</t>
        </r>
      </text>
    </comment>
    <comment ref="F4" authorId="0" shapeId="0" xr:uid="{00000000-0006-0000-03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This is based off OM with some manual plug-ins</t>
        </r>
      </text>
    </comment>
    <comment ref="G21" authorId="1" shapeId="0" xr:uid="{D7E79431-4372-4F70-8E89-810D9A26333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MAIN DRIVER RIGHT NOW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<sst xmlns="http://schemas.openxmlformats.org/spreadsheetml/2006/main" count="408" uniqueCount="301">
  <si>
    <t>MONTHLY CASH FLOW</t>
  </si>
  <si>
    <t>Month</t>
  </si>
  <si>
    <t>Year</t>
  </si>
  <si>
    <t>Date</t>
  </si>
  <si>
    <t>INCOME</t>
  </si>
  <si>
    <t>Total Collected Rent</t>
  </si>
  <si>
    <t>Reimbursement Income</t>
  </si>
  <si>
    <t>Additional Income</t>
  </si>
  <si>
    <t>Gross Income</t>
  </si>
  <si>
    <t xml:space="preserve">  Credit Loss</t>
  </si>
  <si>
    <t>Effective Gross Income (EGI)</t>
  </si>
  <si>
    <t>OPERATING EXPENSES</t>
  </si>
  <si>
    <t>Total Operating Expenses</t>
  </si>
  <si>
    <t>Management Fee</t>
  </si>
  <si>
    <t>Total Expenses</t>
  </si>
  <si>
    <t>NET OPERATING INCOME (NOI)</t>
  </si>
  <si>
    <t>BELOW-THE-LINE</t>
  </si>
  <si>
    <t>CapEx</t>
  </si>
  <si>
    <t>Tenant Improvements</t>
  </si>
  <si>
    <t>Leasing Commissions</t>
  </si>
  <si>
    <t>Cash Flow Before Debt Service</t>
  </si>
  <si>
    <t>DEBT SERVICE &amp; OTHER</t>
  </si>
  <si>
    <t>Total Debt Service</t>
  </si>
  <si>
    <t>Replacement Reserve</t>
  </si>
  <si>
    <t>Acquisition Fee</t>
  </si>
  <si>
    <t>Asset Management Fee</t>
  </si>
  <si>
    <t>Legal/Acct/Banking</t>
  </si>
  <si>
    <t>CASH AVAILABLE FOR DISTRIBUTION</t>
  </si>
  <si>
    <t>Net Refi Proceeds</t>
  </si>
  <si>
    <t>SALE / DISPOSITION</t>
  </si>
  <si>
    <t>T12 NOI (at exit)</t>
  </si>
  <si>
    <t>Gross Sale Price</t>
  </si>
  <si>
    <t>Less: Selling Costs</t>
  </si>
  <si>
    <t>Less: Loan Payoff</t>
  </si>
  <si>
    <t>Net Sale Proceeds to Equity</t>
  </si>
  <si>
    <t>RETURN CALCULATIONS</t>
  </si>
  <si>
    <t>Equity Investment</t>
  </si>
  <si>
    <t>Levered Net CF (for IRR)</t>
  </si>
  <si>
    <t>Unlevered Net CF (for IRR)</t>
  </si>
  <si>
    <t>RETURN METRICS</t>
  </si>
  <si>
    <t>Equity Multiple</t>
  </si>
  <si>
    <t>Total Cash Flow</t>
  </si>
  <si>
    <t>PROPERTY INFO</t>
  </si>
  <si>
    <t>NOTES</t>
  </si>
  <si>
    <t>CAPITAL &amp; LEASING ASSUMPTIONS</t>
  </si>
  <si>
    <t>SOURCES &amp; USES</t>
  </si>
  <si>
    <t>Property Name</t>
  </si>
  <si>
    <t>TI $/SF (New Leases)</t>
  </si>
  <si>
    <t>Levered IRR</t>
  </si>
  <si>
    <t>Property Address</t>
  </si>
  <si>
    <t>4949 Marconi Ave, Carmichael CA</t>
  </si>
  <si>
    <t xml:space="preserve"> </t>
  </si>
  <si>
    <t>TI $/SF (Renewals)</t>
  </si>
  <si>
    <t>SOURCES</t>
  </si>
  <si>
    <t>Amount ($)</t>
  </si>
  <si>
    <t>Unlevered IRR</t>
  </si>
  <si>
    <t>Close Date (Model Start)</t>
  </si>
  <si>
    <t>LC % of Total Rent (New)</t>
  </si>
  <si>
    <t>Loan 1 Proceeds</t>
  </si>
  <si>
    <t>Total NRA (SF)</t>
  </si>
  <si>
    <t>LC % of Total Rent (Renewal)</t>
  </si>
  <si>
    <t>LP Equity</t>
  </si>
  <si>
    <t>Lot Size (acres)</t>
  </si>
  <si>
    <t>Downtime Between Tenants (mo)</t>
  </si>
  <si>
    <t>GP Equity (Co-Invest)</t>
  </si>
  <si>
    <t>Going-In Cap Rate</t>
  </si>
  <si>
    <t>Year Built</t>
  </si>
  <si>
    <t>Default Renewal Probability</t>
  </si>
  <si>
    <t>Other Sources</t>
  </si>
  <si>
    <t>Exit Cap Rate</t>
  </si>
  <si>
    <t>Parking Spaces</t>
  </si>
  <si>
    <t>Total Sources</t>
  </si>
  <si>
    <t>Total Equity</t>
  </si>
  <si>
    <t>Number of Buildings</t>
  </si>
  <si>
    <t>DEBT — LOAN 1 (ACQUISITION)</t>
  </si>
  <si>
    <t>LTV (%)</t>
  </si>
  <si>
    <t>USES</t>
  </si>
  <si>
    <t>KEY ASSUMPTIONS</t>
  </si>
  <si>
    <t>Loan Amount</t>
  </si>
  <si>
    <t>Purchase Price</t>
  </si>
  <si>
    <t>Acquisition Price</t>
  </si>
  <si>
    <t>Int Rate</t>
  </si>
  <si>
    <t>Closing Costs</t>
  </si>
  <si>
    <t>Closing Costs (% of Price)</t>
  </si>
  <si>
    <t>IO Period</t>
  </si>
  <si>
    <t>mos</t>
  </si>
  <si>
    <t>Loan Origination Fees</t>
  </si>
  <si>
    <t>Total Basis</t>
  </si>
  <si>
    <t>Amo Period</t>
  </si>
  <si>
    <t>Loan Term</t>
  </si>
  <si>
    <t>Working Capital Reserve</t>
  </si>
  <si>
    <t>need logic on these 3</t>
  </si>
  <si>
    <t>also drives refi amnt</t>
  </si>
  <si>
    <t>Origination Fee (%)</t>
  </si>
  <si>
    <t>Upfront CapEx Reserve</t>
  </si>
  <si>
    <t>Exit Month</t>
  </si>
  <si>
    <t>Upfront TI/LC Reserve</t>
  </si>
  <si>
    <t>Selling Costs at Exit (%)</t>
  </si>
  <si>
    <t>DEBT — LOAN 2 (REFINANCE)</t>
  </si>
  <si>
    <t>Total Uses</t>
  </si>
  <si>
    <t>Credit Loss (% of EGI)</t>
  </si>
  <si>
    <t>Refinance Toggle</t>
  </si>
  <si>
    <t>ON</t>
  </si>
  <si>
    <t>Sources - Uses</t>
  </si>
  <si>
    <t>Replacement Reserve ($/SF/yr)</t>
  </si>
  <si>
    <t>Refi Month</t>
  </si>
  <si>
    <t>Balance Check</t>
  </si>
  <si>
    <t>Annual Rent Growth Rate</t>
  </si>
  <si>
    <t>Refi LTV (% of Stabilized Value)</t>
  </si>
  <si>
    <t>Property Tax Millage Rate</t>
  </si>
  <si>
    <t>Refi Loan Amount</t>
  </si>
  <si>
    <t>OpEx Annual Growth</t>
  </si>
  <si>
    <t>driving monthly opex rn</t>
  </si>
  <si>
    <t>Assessed Value for Taxes</t>
  </si>
  <si>
    <t>Additional Income ($/month)</t>
  </si>
  <si>
    <t>ENTITY-LEVEL EXPENSES</t>
  </si>
  <si>
    <t>Acquisition Fee (% of Price)</t>
  </si>
  <si>
    <t>Legal/Acct/Banking ($/month)</t>
  </si>
  <si>
    <t>OM RENT ROLL — AS-IS AT ACQUISITION</t>
  </si>
  <si>
    <t>Input raw rent roll data from the offering memorandum below. All cells should be blue text (inputs).</t>
  </si>
  <si>
    <t>Suite / Unit #</t>
  </si>
  <si>
    <t>Tenant Name</t>
  </si>
  <si>
    <t>SF</t>
  </si>
  <si>
    <t>Lease Type</t>
  </si>
  <si>
    <t>Lease Start</t>
  </si>
  <si>
    <t>Lease End</t>
  </si>
  <si>
    <t>Base Rent
($/SF/mo)</t>
  </si>
  <si>
    <t>Implied
Esc %/yr</t>
  </si>
  <si>
    <t>Total Rent
($/mo)</t>
  </si>
  <si>
    <t>Bump Date</t>
  </si>
  <si>
    <t>Bump To
($/mo)</t>
  </si>
  <si>
    <t>Bump
$/SF/mo</t>
  </si>
  <si>
    <t>Renewal Options</t>
  </si>
  <si>
    <t>4949 A1&amp;A2</t>
  </si>
  <si>
    <t>Middle East Bakery</t>
  </si>
  <si>
    <t>NNN</t>
  </si>
  <si>
    <t>4949 B</t>
  </si>
  <si>
    <t>VACANT</t>
  </si>
  <si>
    <t>One 3-Year Option</t>
  </si>
  <si>
    <t>4949 C</t>
  </si>
  <si>
    <t>Circle Pizza</t>
  </si>
  <si>
    <t>4949 D&amp;E</t>
  </si>
  <si>
    <t>Silver Sake</t>
  </si>
  <si>
    <t>MTM</t>
  </si>
  <si>
    <t>4949 F</t>
  </si>
  <si>
    <t>Waiel Merza</t>
  </si>
  <si>
    <t>4949 G</t>
  </si>
  <si>
    <t>Cigarettes &amp; Gifts</t>
  </si>
  <si>
    <t>4949 H</t>
  </si>
  <si>
    <t>Brittany Hair &amp; Nails</t>
  </si>
  <si>
    <t>MG</t>
  </si>
  <si>
    <t>2 Options</t>
  </si>
  <si>
    <t>4949 I</t>
  </si>
  <si>
    <t>Madeville Hair Salon</t>
  </si>
  <si>
    <t>4949 J</t>
  </si>
  <si>
    <t>4955 A</t>
  </si>
  <si>
    <t>Sharing &amp; Caring</t>
  </si>
  <si>
    <t>4955 B</t>
  </si>
  <si>
    <t>Spoteless Cleaners</t>
  </si>
  <si>
    <t>4955 C</t>
  </si>
  <si>
    <t>Dawn's Pet Palace</t>
  </si>
  <si>
    <t>TOTAL</t>
  </si>
  <si>
    <t>OM OPERATING EXPENSES — HISTORICAL &amp; PROJECTED</t>
  </si>
  <si>
    <t>important note - right now, just the total opex number monthly number is being taken and use to start the month 1 of the cash flow, then then annual opex growth % is being applied for simplicity, in future we will line item these</t>
  </si>
  <si>
    <t>Line Item</t>
  </si>
  <si>
    <t>OM</t>
  </si>
  <si>
    <t>$/SF</t>
  </si>
  <si>
    <t>Growth %</t>
  </si>
  <si>
    <t>Yr 1 Projected</t>
  </si>
  <si>
    <t>Monthly</t>
  </si>
  <si>
    <t>Repairs &amp; Maintenance</t>
  </si>
  <si>
    <t>Janitorial</t>
  </si>
  <si>
    <t>Landscaping / Grounds</t>
  </si>
  <si>
    <t>Pest Control</t>
  </si>
  <si>
    <t>Security</t>
  </si>
  <si>
    <t>Utilities — Electric (Common)</t>
  </si>
  <si>
    <t>Utilities — Water/Sewer</t>
  </si>
  <si>
    <t>Utilities — Gas</t>
  </si>
  <si>
    <t>Trash &amp; Recycling</t>
  </si>
  <si>
    <t>Fire/Life Safety</t>
  </si>
  <si>
    <t>HVAC Contracts</t>
  </si>
  <si>
    <t>Parking Lot Maintenance</t>
  </si>
  <si>
    <t>Property Taxes</t>
  </si>
  <si>
    <t xml:space="preserve">uses Mill rate to calculate </t>
  </si>
  <si>
    <t>Insurance</t>
  </si>
  <si>
    <t>need quote on rate</t>
  </si>
  <si>
    <t>Variable: Property Management Amount being calculated directly in cash flow</t>
  </si>
  <si>
    <t>Other / Misc</t>
  </si>
  <si>
    <t>TOTAL OPERATING EXPENSES</t>
  </si>
  <si>
    <t>RENT ROLL &amp; LEASE-UP SCHEDULE</t>
  </si>
  <si>
    <t>Suite</t>
  </si>
  <si>
    <t>Tenant</t>
  </si>
  <si>
    <t>% GLA</t>
  </si>
  <si>
    <t>Escalation %</t>
  </si>
  <si>
    <t>Renewal
Prob %</t>
  </si>
  <si>
    <t>Downtime
(mo)</t>
  </si>
  <si>
    <t>TI New
($/SF)</t>
  </si>
  <si>
    <t>TI Renewal
($/SF)</t>
  </si>
  <si>
    <t>LC New %</t>
  </si>
  <si>
    <t>LC Renewal %</t>
  </si>
  <si>
    <t>NNN Conv?
(Y/N)</t>
  </si>
  <si>
    <t>Month →</t>
  </si>
  <si>
    <t>N</t>
  </si>
  <si>
    <t xml:space="preserve">  Rate</t>
  </si>
  <si>
    <t xml:space="preserve">  Eff$</t>
  </si>
  <si>
    <t>Y</t>
  </si>
  <si>
    <t>SUMMARY</t>
  </si>
  <si>
    <t>Occupied SF</t>
  </si>
  <si>
    <t>Occupancy Rate</t>
  </si>
  <si>
    <t>Total Monthly Rent</t>
  </si>
  <si>
    <t>NNN-Occupied SF</t>
  </si>
  <si>
    <t>NNN Occupancy Rate</t>
  </si>
  <si>
    <t>CAPITAL EXPENDITURES &amp; TI / LEASING COMMISSIONS</t>
  </si>
  <si>
    <t>CAPITAL EXPENDITURES</t>
  </si>
  <si>
    <t>#</t>
  </si>
  <si>
    <t>Description</t>
  </si>
  <si>
    <t>Category</t>
  </si>
  <si>
    <t>Vendor/Notes</t>
  </si>
  <si>
    <t>Total Cost ($)</t>
  </si>
  <si>
    <t>Start Month</t>
  </si>
  <si>
    <t>Spread (mo)</t>
  </si>
  <si>
    <t>Misc Repairs</t>
  </si>
  <si>
    <t>Misc</t>
  </si>
  <si>
    <t>Asphalt Resurfacing</t>
  </si>
  <si>
    <t>Site</t>
  </si>
  <si>
    <t>Dry Rot Repairs</t>
  </si>
  <si>
    <t>Structural</t>
  </si>
  <si>
    <t>Gutter Repairs</t>
  </si>
  <si>
    <t>Exterior LED Lighting</t>
  </si>
  <si>
    <t>Electrical</t>
  </si>
  <si>
    <t>Sewer Line Repair</t>
  </si>
  <si>
    <t>Mechanical</t>
  </si>
  <si>
    <t>Tree Service</t>
  </si>
  <si>
    <t>Cosmetic</t>
  </si>
  <si>
    <t>TOTAL CAPEX</t>
  </si>
  <si>
    <t>TENANT IMPROVEMENTS</t>
  </si>
  <si>
    <t>Suite/Tenant</t>
  </si>
  <si>
    <t>Relet Month</t>
  </si>
  <si>
    <t>TI Cost ($)</t>
  </si>
  <si>
    <t>TOTAL TI</t>
  </si>
  <si>
    <t>LEASING COMMISSIONS</t>
  </si>
  <si>
    <t>LC Cost ($)</t>
  </si>
  <si>
    <t>TOTAL LC</t>
  </si>
  <si>
    <t>TOTAL CAPEX + TI + LC</t>
  </si>
  <si>
    <t>DEBT SCHEDULE</t>
  </si>
  <si>
    <t>LOAN 1 — ACQUISITION</t>
  </si>
  <si>
    <t>Beginning Balance</t>
  </si>
  <si>
    <t>Interest Payment</t>
  </si>
  <si>
    <t>Principal Payment</t>
  </si>
  <si>
    <t>Total Payment</t>
  </si>
  <si>
    <t>Loan Payoff</t>
  </si>
  <si>
    <t>Ending Balance</t>
  </si>
  <si>
    <t>Origination Fee</t>
  </si>
  <si>
    <t>LOAN 2 — REFINANCE</t>
  </si>
  <si>
    <t>Refi Proceeds</t>
  </si>
  <si>
    <t>COMBINED DEBT SUMMARY</t>
  </si>
  <si>
    <t>Net Refi Cash</t>
  </si>
  <si>
    <t>Total Loan Payoff at Exit</t>
  </si>
  <si>
    <t>ANNUAL CASH FLOW SUMMARY</t>
  </si>
  <si>
    <t>Year 1</t>
  </si>
  <si>
    <t>Year 2</t>
  </si>
  <si>
    <t>Year 3</t>
  </si>
  <si>
    <t>Year 4</t>
  </si>
  <si>
    <t>Year 5</t>
  </si>
  <si>
    <t>Credit Loss</t>
  </si>
  <si>
    <t>Effective Gross Income</t>
  </si>
  <si>
    <t>NET OPERATING INCOME</t>
  </si>
  <si>
    <t>CF Before Debt Service</t>
  </si>
  <si>
    <t>Entity Expenses</t>
  </si>
  <si>
    <t>Cash Available for Distribution</t>
  </si>
  <si>
    <t>Net Sale Proceeds</t>
  </si>
  <si>
    <t>Net Cash Flow</t>
  </si>
  <si>
    <t>ANNUAL METRICS</t>
  </si>
  <si>
    <t>NOI $/SF</t>
  </si>
  <si>
    <t>Cash-on-Cash</t>
  </si>
  <si>
    <t>WATERFALL — TO BE BUILT</t>
  </si>
  <si>
    <t>GP/LP splits, preferred return, and promote tiers will be added in a future version.</t>
  </si>
  <si>
    <t>SENSITIVITY ANALYSIS — TO BE BUILT</t>
  </si>
  <si>
    <t>IRR sensitivity matrices will be added in a future version.</t>
  </si>
  <si>
    <t>New Lease Esc %</t>
  </si>
  <si>
    <t>Initial Lease-Up
Month</t>
  </si>
  <si>
    <t>TODO</t>
  </si>
  <si>
    <t>make TI costs and LCs equal to new ones for those we think will be new lease for sure</t>
  </si>
  <si>
    <t>make sure to set VACANT lease types to NNN</t>
  </si>
  <si>
    <t xml:space="preserve">make sure to go in and hard code the initial leaseup month for VACANT units and if wanted for MTM </t>
  </si>
  <si>
    <t>Total Capex, LI, LC</t>
  </si>
  <si>
    <t>EGI + REIMBURSEMEBNTS</t>
  </si>
  <si>
    <t>Market Rent</t>
  </si>
  <si>
    <t>New Term</t>
  </si>
  <si>
    <t>Renewal Term</t>
  </si>
  <si>
    <t>Current Total Reimburesement Income</t>
  </si>
  <si>
    <t xml:space="preserve">RETAIL ACQUISITION MODEL v1 - Keegan Tingey </t>
  </si>
  <si>
    <t>last updated: 4/5/26</t>
  </si>
  <si>
    <t>NNN's</t>
  </si>
  <si>
    <t>check om: reimb and fireworks</t>
  </si>
  <si>
    <t>Asset Mgmt Fee (% of Equity)</t>
  </si>
  <si>
    <t>Property Management Fee</t>
  </si>
  <si>
    <t>Cash-on-Cash (Year 2)</t>
  </si>
  <si>
    <t>Cash-on-Cash (Yr 2)</t>
  </si>
  <si>
    <t>Marconi &amp; Walnut</t>
  </si>
  <si>
    <t>Property Management Fee (% of EGI)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</si>
</sst>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164" formatCode="_(\$* #,##0_);_(\$* \(#,##0\);_(\$* \-_);_(@_)"/>
    <numFmt numFmtId="165" formatCode="_(* #,##0_);_(* \(#,##0\);_(* \-_);_(@_)"/>
    <numFmt numFmtId="166" formatCode="0.00\x"/>
    <numFmt numFmtId="167" formatCode="\$#,##0.00_);[Red]&quot;($&quot;#,##0.00\)"/>
    <numFmt numFmtId="168" formatCode="mm/dd/yyyy"/>
    <numFmt numFmtId="169" formatCode="\$#,##0_);[Red]&quot;($&quot;#,##0\)"/>
    <numFmt numFmtId="170" formatCode="\$#,##0.00"/>
    <numFmt numFmtId="171" formatCode="0.0%"/>
    <numFmt numFmtId="172" formatCode="\$#,##0"/>
    <numFmt numFmtId="173" formatCode="_(\$* #,##0.00_);_(\$* \(#,##0.00\);_(\$* \-_);_(@_)"/>
  </numFmts>
  <fonts count="3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2"/>
      <color rgb="FFFFFFFF"/>
      <name val="Arial"/>
      <family val="2"/>
    </font>
    <font>
      <sz val="8"/>
      <color theme="0"/>
      <name val="Arial"/>
      <family val="2"/>
      <charset val="1"/>
    </font>
    <font>
      <sz val="10"/>
      <color rgb="FF000000"/>
      <name val="Arial"/>
      <family val="2"/>
    </font>
    <font>
      <sz val="8"/>
      <color rgb="FF666666"/>
      <name val="Arial"/>
      <family val="2"/>
    </font>
    <font>
      <b/>
      <sz val="9"/>
      <color rgb="FF003366"/>
      <name val="Arial"/>
      <family val="2"/>
    </font>
    <font>
      <b/>
      <sz val="10"/>
      <color rgb="FF003366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i/>
      <sz val="11"/>
      <name val="Calibri"/>
      <family val="2"/>
      <charset val="1"/>
    </font>
    <font>
      <i/>
      <u/>
      <sz val="11"/>
      <color theme="1"/>
      <name val="Calibri"/>
      <family val="2"/>
      <charset val="1"/>
    </font>
    <font>
      <sz val="10"/>
      <color rgb="FF0000FF"/>
      <name val="Arial"/>
      <family val="2"/>
      <charset val="1"/>
    </font>
    <font>
      <i/>
      <sz val="10"/>
      <name val="Arial"/>
      <family val="2"/>
      <charset val="1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  <charset val="1"/>
    </font>
    <font>
      <i/>
      <sz val="11"/>
      <color theme="1"/>
      <name val="Calibri"/>
      <family val="2"/>
      <charset val="1"/>
    </font>
    <font>
      <b/>
      <i/>
      <sz val="10"/>
      <name val="Arial"/>
      <family val="2"/>
      <charset val="1"/>
    </font>
    <font>
      <i/>
      <sz val="9"/>
      <color rgb="FF666666"/>
      <name val="Arial"/>
      <family val="2"/>
    </font>
    <font>
      <b/>
      <sz val="10"/>
      <color rgb="FFFFFFFF"/>
      <name val="Arial"/>
      <family val="2"/>
      <charset val="1"/>
    </font>
    <font>
      <sz val="10"/>
      <color rgb="FF008000"/>
      <name val="Arial"/>
      <family val="2"/>
    </font>
    <font>
      <i/>
      <sz val="10"/>
      <color rgb="FF888888"/>
      <name val="Arial"/>
      <family val="2"/>
    </font>
    <font>
      <sz val="10"/>
      <color theme="1"/>
      <name val="Arial"/>
      <family val="2"/>
    </font>
    <font>
      <i/>
      <sz val="10"/>
      <color rgb="FF808080"/>
      <name val="Arial"/>
      <family val="2"/>
    </font>
    <font>
      <b/>
      <sz val="10"/>
      <color theme="0"/>
      <name val="Arial"/>
      <family val="2"/>
    </font>
    <font>
      <i/>
      <sz val="11"/>
      <color theme="1"/>
      <name val="Calibri"/>
      <family val="2"/>
    </font>
    <font>
      <b/>
      <i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i/>
      <sz val="10"/>
      <name val="Arial"/>
      <family val="2"/>
    </font>
    <font>
      <i/>
      <sz val="10"/>
      <color theme="0" tint="-0.3499862666707357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3366"/>
        <bgColor rgb="FF203864"/>
      </patternFill>
    </fill>
    <fill>
      <patternFill patternType="solid">
        <fgColor theme="0" tint="-4.9989318521683403E-2"/>
        <bgColor rgb="FFF5F7FA"/>
      </patternFill>
    </fill>
    <fill>
      <patternFill patternType="solid">
        <fgColor theme="6" tint="0.79989013336588644"/>
        <bgColor rgb="FFE8ECF1"/>
      </patternFill>
    </fill>
    <fill>
      <patternFill patternType="solid">
        <fgColor rgb="FFF5F7FA"/>
        <bgColor rgb="FFF2F2F2"/>
      </patternFill>
    </fill>
    <fill>
      <patternFill patternType="solid">
        <fgColor rgb="FFFFFF99"/>
        <bgColor rgb="FFEBF1DE"/>
      </patternFill>
    </fill>
    <fill>
      <patternFill patternType="solid">
        <fgColor rgb="FFFFFF00"/>
        <bgColor rgb="FFFFFF00"/>
      </patternFill>
    </fill>
    <fill>
      <patternFill patternType="solid">
        <fgColor rgb="FFFF6600"/>
        <bgColor rgb="FFFF8080"/>
      </patternFill>
    </fill>
    <fill>
      <patternFill patternType="solid">
        <fgColor rgb="FFE8ECF1"/>
        <bgColor rgb="FFF2F2F2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rgb="FF003366"/>
      </bottom>
      <diagonal/>
    </border>
    <border>
      <left style="hair">
        <color rgb="FFD0D0D0"/>
      </left>
      <right style="hair">
        <color rgb="FFD0D0D0"/>
      </right>
      <top style="hair">
        <color rgb="FFD0D0D0"/>
      </top>
      <bottom style="hair">
        <color rgb="FFD0D0D0"/>
      </bottom>
      <diagonal/>
    </border>
    <border>
      <left style="medium">
        <color auto="1"/>
      </left>
      <right/>
      <top style="medium">
        <color auto="1"/>
      </top>
      <bottom style="medium">
        <color rgb="FF003366"/>
      </bottom>
      <diagonal/>
    </border>
    <border>
      <left/>
      <right style="medium">
        <color auto="1"/>
      </right>
      <top style="medium">
        <color auto="1"/>
      </top>
      <bottom style="medium">
        <color rgb="FF003366"/>
      </bottom>
      <diagonal/>
    </border>
    <border>
      <left style="medium">
        <color auto="1"/>
      </left>
      <right style="hair">
        <color rgb="FFD0D0D0"/>
      </right>
      <top style="hair">
        <color rgb="FFD0D0D0"/>
      </top>
      <bottom style="hair">
        <color rgb="FFD0D0D0"/>
      </bottom>
      <diagonal/>
    </border>
    <border>
      <left style="hair">
        <color rgb="FFD0D0D0"/>
      </left>
      <right style="medium">
        <color auto="1"/>
      </right>
      <top style="hair">
        <color rgb="FFD0D0D0"/>
      </top>
      <bottom style="hair">
        <color rgb="FFD0D0D0"/>
      </bottom>
      <diagonal/>
    </border>
    <border>
      <left style="medium">
        <color auto="1"/>
      </left>
      <right/>
      <top style="thin">
        <color rgb="FF003366"/>
      </top>
      <bottom style="double">
        <color rgb="FF003366"/>
      </bottom>
      <diagonal/>
    </border>
    <border>
      <left/>
      <right style="medium">
        <color auto="1"/>
      </right>
      <top style="thin">
        <color rgb="FF003366"/>
      </top>
      <bottom style="double">
        <color rgb="FF003366"/>
      </bottom>
      <diagonal/>
    </border>
    <border>
      <left style="medium">
        <color auto="1"/>
      </left>
      <right style="hair">
        <color rgb="FFD0D0D0"/>
      </right>
      <top style="hair">
        <color rgb="FFD0D0D0"/>
      </top>
      <bottom style="medium">
        <color auto="1"/>
      </bottom>
      <diagonal/>
    </border>
    <border>
      <left style="hair">
        <color rgb="FFD0D0D0"/>
      </left>
      <right style="medium">
        <color auto="1"/>
      </right>
      <top style="hair">
        <color rgb="FFD0D0D0"/>
      </top>
      <bottom style="medium">
        <color auto="1"/>
      </bottom>
      <diagonal/>
    </border>
    <border>
      <left style="medium">
        <color auto="1"/>
      </left>
      <right/>
      <top/>
      <bottom style="medium">
        <color rgb="FF003366"/>
      </bottom>
      <diagonal/>
    </border>
    <border>
      <left/>
      <right style="medium">
        <color auto="1"/>
      </right>
      <top/>
      <bottom style="medium">
        <color rgb="FF003366"/>
      </bottom>
      <diagonal/>
    </border>
    <border>
      <left style="hair">
        <color rgb="FFD0D0D0"/>
      </left>
      <right style="hair">
        <color rgb="FFD0D0D0"/>
      </right>
      <top/>
      <bottom style="hair">
        <color rgb="FFD0D0D0"/>
      </bottom>
      <diagonal/>
    </border>
    <border>
      <left style="medium">
        <color auto="1"/>
      </left>
      <right/>
      <top/>
      <bottom style="thin">
        <color rgb="FF003366"/>
      </bottom>
      <diagonal/>
    </border>
    <border>
      <left/>
      <right style="medium">
        <color auto="1"/>
      </right>
      <top/>
      <bottom style="thin">
        <color rgb="FF003366"/>
      </bottom>
      <diagonal/>
    </border>
    <border>
      <left/>
      <right/>
      <top style="thin">
        <color rgb="FF003366"/>
      </top>
      <bottom style="double">
        <color rgb="FF003366"/>
      </bottom>
      <diagonal/>
    </border>
    <border>
      <left style="hair">
        <color rgb="FFD0D0D0"/>
      </left>
      <right style="hair">
        <color rgb="FFD0D0D0"/>
      </right>
      <top style="hair">
        <color rgb="FFD0D0D0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rgb="FFD0D0D0"/>
      </left>
      <right/>
      <top style="hair">
        <color rgb="FFD0D0D0"/>
      </top>
      <bottom style="hair">
        <color rgb="FFD0D0D0"/>
      </bottom>
      <diagonal/>
    </border>
    <border>
      <left style="hair">
        <color rgb="FFD0D0D0"/>
      </left>
      <right style="hair">
        <color rgb="FFD0D0D0"/>
      </right>
      <top/>
      <bottom/>
      <diagonal/>
    </border>
    <border>
      <left style="hair">
        <color rgb="FFD0D0D0"/>
      </left>
      <right style="hair">
        <color rgb="FFD0D0D0"/>
      </right>
      <top style="hair">
        <color rgb="FFD0D0D0"/>
      </top>
      <bottom/>
      <diagonal/>
    </border>
    <border>
      <left style="hair">
        <color rgb="FFD0D0D0"/>
      </left>
      <right/>
      <top style="hair">
        <color rgb="FFD0D0D0"/>
      </top>
      <bottom/>
      <diagonal/>
    </border>
    <border>
      <left style="medium">
        <color indexed="64"/>
      </left>
      <right style="hair">
        <color rgb="FFD0D0D0"/>
      </right>
      <top style="medium">
        <color indexed="64"/>
      </top>
      <bottom style="hair">
        <color rgb="FFD0D0D0"/>
      </bottom>
      <diagonal/>
    </border>
    <border>
      <left style="hair">
        <color rgb="FFD0D0D0"/>
      </left>
      <right style="hair">
        <color rgb="FFD0D0D0"/>
      </right>
      <top style="medium">
        <color indexed="64"/>
      </top>
      <bottom style="hair">
        <color rgb="FFD0D0D0"/>
      </bottom>
      <diagonal/>
    </border>
    <border>
      <left/>
      <right/>
      <top style="medium">
        <color indexed="64"/>
      </top>
      <bottom/>
      <diagonal/>
    </border>
    <border>
      <left style="hair">
        <color rgb="FFD0D0D0"/>
      </left>
      <right/>
      <top style="medium">
        <color indexed="64"/>
      </top>
      <bottom style="hair">
        <color rgb="FFD0D0D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rgb="FFD0D0D0"/>
      </left>
      <right style="hair">
        <color rgb="FFD0D0D0"/>
      </right>
      <top style="hair">
        <color rgb="FFD0D0D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rgb="FFD0D0D0"/>
      </left>
      <right/>
      <top style="hair">
        <color rgb="FFD0D0D0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2" fillId="2" borderId="0" xfId="0" applyFont="1" applyFill="1"/>
    <xf numFmtId="1" fontId="3" fillId="2" borderId="0" xfId="0" applyNumberFormat="1" applyFont="1" applyFill="1" applyAlignment="1">
      <alignment horizontal="center"/>
    </xf>
    <xf numFmtId="0" fontId="4" fillId="0" borderId="0" xfId="0" applyFont="1"/>
    <xf numFmtId="1" fontId="5" fillId="0" borderId="0" xfId="0" applyNumberFormat="1" applyFont="1" applyAlignment="1">
      <alignment horizontal="center"/>
    </xf>
    <xf numFmtId="17" fontId="6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4" fillId="0" borderId="2" xfId="0" applyFont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0" fontId="8" fillId="0" borderId="2" xfId="0" applyFont="1" applyBorder="1"/>
    <xf numFmtId="164" fontId="8" fillId="0" borderId="2" xfId="0" applyNumberFormat="1" applyFont="1" applyBorder="1"/>
    <xf numFmtId="0" fontId="8" fillId="0" borderId="1" xfId="0" applyFont="1" applyBorder="1"/>
    <xf numFmtId="164" fontId="8" fillId="0" borderId="1" xfId="0" applyNumberFormat="1" applyFont="1" applyBorder="1"/>
    <xf numFmtId="0" fontId="0" fillId="0" borderId="2" xfId="0" applyBorder="1"/>
    <xf numFmtId="0" fontId="9" fillId="0" borderId="2" xfId="0" applyFont="1" applyBorder="1"/>
    <xf numFmtId="164" fontId="9" fillId="0" borderId="2" xfId="0" applyNumberFormat="1" applyFont="1" applyBorder="1"/>
    <xf numFmtId="10" fontId="9" fillId="0" borderId="2" xfId="0" applyNumberFormat="1" applyFont="1" applyBorder="1"/>
    <xf numFmtId="166" fontId="9" fillId="0" borderId="2" xfId="0" applyNumberFormat="1" applyFont="1" applyBorder="1"/>
    <xf numFmtId="0" fontId="10" fillId="0" borderId="0" xfId="0" applyFont="1"/>
    <xf numFmtId="0" fontId="0" fillId="0" borderId="1" xfId="0" applyBorder="1"/>
    <xf numFmtId="0" fontId="11" fillId="0" borderId="0" xfId="0" applyFont="1"/>
    <xf numFmtId="0" fontId="7" fillId="0" borderId="3" xfId="0" applyFont="1" applyBorder="1"/>
    <xf numFmtId="0" fontId="7" fillId="0" borderId="4" xfId="0" applyFont="1" applyBorder="1"/>
    <xf numFmtId="0" fontId="12" fillId="0" borderId="2" xfId="0" applyFont="1" applyBorder="1" applyAlignment="1">
      <alignment horizontal="right"/>
    </xf>
    <xf numFmtId="0" fontId="13" fillId="3" borderId="0" xfId="0" applyFont="1" applyFill="1" applyAlignment="1">
      <alignment horizontal="right"/>
    </xf>
    <xf numFmtId="167" fontId="14" fillId="0" borderId="2" xfId="0" applyNumberFormat="1" applyFont="1" applyBorder="1"/>
    <xf numFmtId="0" fontId="4" fillId="0" borderId="5" xfId="0" applyFont="1" applyBorder="1"/>
    <xf numFmtId="10" fontId="9" fillId="0" borderId="6" xfId="0" applyNumberFormat="1" applyFont="1" applyBorder="1"/>
    <xf numFmtId="0" fontId="12" fillId="0" borderId="2" xfId="0" applyFont="1" applyBorder="1"/>
    <xf numFmtId="0" fontId="13" fillId="3" borderId="0" xfId="0" applyFont="1" applyFill="1" applyAlignment="1">
      <alignment horizontal="left"/>
    </xf>
    <xf numFmtId="0" fontId="15" fillId="2" borderId="3" xfId="0" applyFont="1" applyFill="1" applyBorder="1" applyAlignment="1">
      <alignment horizontal="center" wrapText="1"/>
    </xf>
    <xf numFmtId="0" fontId="15" fillId="2" borderId="4" xfId="0" applyFont="1" applyFill="1" applyBorder="1" applyAlignment="1">
      <alignment horizontal="center" wrapText="1"/>
    </xf>
    <xf numFmtId="168" fontId="14" fillId="0" borderId="2" xfId="0" applyNumberFormat="1" applyFont="1" applyBorder="1" applyAlignment="1">
      <alignment horizontal="right"/>
    </xf>
    <xf numFmtId="168" fontId="13" fillId="3" borderId="0" xfId="0" applyNumberFormat="1" applyFont="1" applyFill="1" applyAlignment="1">
      <alignment horizontal="right"/>
    </xf>
    <xf numFmtId="10" fontId="14" fillId="0" borderId="2" xfId="0" applyNumberFormat="1" applyFont="1" applyBorder="1"/>
    <xf numFmtId="164" fontId="4" fillId="0" borderId="6" xfId="0" applyNumberFormat="1" applyFont="1" applyBorder="1"/>
    <xf numFmtId="166" fontId="4" fillId="0" borderId="6" xfId="0" applyNumberFormat="1" applyFont="1" applyBorder="1"/>
    <xf numFmtId="3" fontId="14" fillId="0" borderId="2" xfId="0" applyNumberFormat="1" applyFont="1" applyBorder="1" applyAlignment="1">
      <alignment horizontal="right"/>
    </xf>
    <xf numFmtId="3" fontId="13" fillId="3" borderId="0" xfId="0" applyNumberFormat="1" applyFont="1" applyFill="1" applyAlignment="1">
      <alignment horizontal="right"/>
    </xf>
    <xf numFmtId="10" fontId="4" fillId="0" borderId="6" xfId="0" applyNumberFormat="1" applyFont="1" applyBorder="1"/>
    <xf numFmtId="0" fontId="14" fillId="0" borderId="2" xfId="0" applyFont="1" applyBorder="1" applyAlignment="1">
      <alignment horizontal="right"/>
    </xf>
    <xf numFmtId="3" fontId="14" fillId="0" borderId="2" xfId="0" applyNumberFormat="1" applyFont="1" applyBorder="1"/>
    <xf numFmtId="164" fontId="14" fillId="0" borderId="6" xfId="0" applyNumberFormat="1" applyFont="1" applyBorder="1"/>
    <xf numFmtId="0" fontId="8" fillId="0" borderId="7" xfId="0" applyFont="1" applyBorder="1"/>
    <xf numFmtId="164" fontId="8" fillId="0" borderId="8" xfId="0" applyNumberFormat="1" applyFont="1" applyBorder="1"/>
    <xf numFmtId="169" fontId="4" fillId="0" borderId="6" xfId="0" applyNumberFormat="1" applyFont="1" applyBorder="1"/>
    <xf numFmtId="0" fontId="0" fillId="0" borderId="5" xfId="0" applyBorder="1"/>
    <xf numFmtId="164" fontId="0" fillId="0" borderId="6" xfId="0" applyNumberFormat="1" applyBorder="1"/>
    <xf numFmtId="0" fontId="4" fillId="0" borderId="9" xfId="0" applyFont="1" applyBorder="1"/>
    <xf numFmtId="169" fontId="4" fillId="0" borderId="10" xfId="0" applyNumberFormat="1" applyFont="1" applyBorder="1"/>
    <xf numFmtId="0" fontId="10" fillId="3" borderId="0" xfId="0" applyFont="1" applyFill="1"/>
    <xf numFmtId="0" fontId="15" fillId="2" borderId="11" xfId="0" applyFont="1" applyFill="1" applyBorder="1" applyAlignment="1">
      <alignment horizontal="center" wrapText="1"/>
    </xf>
    <xf numFmtId="164" fontId="15" fillId="2" borderId="12" xfId="0" applyNumberFormat="1" applyFont="1" applyFill="1" applyBorder="1" applyAlignment="1">
      <alignment horizontal="center" wrapText="1"/>
    </xf>
    <xf numFmtId="0" fontId="0" fillId="0" borderId="13" xfId="0" applyBorder="1"/>
    <xf numFmtId="164" fontId="0" fillId="0" borderId="2" xfId="0" applyNumberFormat="1" applyBorder="1"/>
    <xf numFmtId="164" fontId="14" fillId="0" borderId="2" xfId="0" applyNumberFormat="1" applyFont="1" applyBorder="1"/>
    <xf numFmtId="164" fontId="13" fillId="3" borderId="0" xfId="0" applyNumberFormat="1" applyFont="1" applyFill="1"/>
    <xf numFmtId="0" fontId="16" fillId="0" borderId="2" xfId="0" applyFont="1" applyBorder="1"/>
    <xf numFmtId="10" fontId="13" fillId="3" borderId="0" xfId="0" applyNumberFormat="1" applyFont="1" applyFill="1"/>
    <xf numFmtId="0" fontId="14" fillId="0" borderId="2" xfId="0" applyFont="1" applyBorder="1"/>
    <xf numFmtId="0" fontId="17" fillId="0" borderId="0" xfId="0" applyFont="1"/>
    <xf numFmtId="164" fontId="18" fillId="3" borderId="0" xfId="0" applyNumberFormat="1" applyFont="1" applyFill="1"/>
    <xf numFmtId="10" fontId="4" fillId="0" borderId="2" xfId="0" applyNumberFormat="1" applyFont="1" applyBorder="1"/>
    <xf numFmtId="0" fontId="13" fillId="3" borderId="0" xfId="0" applyFont="1" applyFill="1"/>
    <xf numFmtId="10" fontId="14" fillId="0" borderId="2" xfId="0" applyNumberFormat="1" applyFont="1" applyBorder="1" applyAlignment="1">
      <alignment horizontal="right"/>
    </xf>
    <xf numFmtId="0" fontId="4" fillId="0" borderId="14" xfId="0" applyFont="1" applyBorder="1"/>
    <xf numFmtId="164" fontId="9" fillId="0" borderId="15" xfId="0" applyNumberFormat="1" applyFont="1" applyBorder="1"/>
    <xf numFmtId="0" fontId="8" fillId="0" borderId="9" xfId="0" applyFont="1" applyBorder="1"/>
    <xf numFmtId="0" fontId="8" fillId="4" borderId="10" xfId="0" applyFont="1" applyFill="1" applyBorder="1"/>
    <xf numFmtId="3" fontId="13" fillId="3" borderId="0" xfId="0" applyNumberFormat="1" applyFont="1" applyFill="1"/>
    <xf numFmtId="169" fontId="14" fillId="0" borderId="2" xfId="0" applyNumberFormat="1" applyFont="1" applyBorder="1"/>
    <xf numFmtId="4" fontId="13" fillId="3" borderId="0" xfId="0" applyNumberFormat="1" applyFont="1" applyFill="1"/>
    <xf numFmtId="0" fontId="19" fillId="0" borderId="0" xfId="0" applyFont="1"/>
    <xf numFmtId="0" fontId="15" fillId="2" borderId="1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168" fontId="14" fillId="0" borderId="2" xfId="0" applyNumberFormat="1" applyFont="1" applyBorder="1"/>
    <xf numFmtId="170" fontId="4" fillId="0" borderId="2" xfId="0" applyNumberFormat="1" applyFont="1" applyBorder="1"/>
    <xf numFmtId="4" fontId="4" fillId="0" borderId="2" xfId="0" applyNumberFormat="1" applyFont="1" applyBorder="1"/>
    <xf numFmtId="0" fontId="14" fillId="5" borderId="2" xfId="0" applyFont="1" applyFill="1" applyBorder="1"/>
    <xf numFmtId="3" fontId="14" fillId="5" borderId="2" xfId="0" applyNumberFormat="1" applyFont="1" applyFill="1" applyBorder="1"/>
    <xf numFmtId="170" fontId="4" fillId="5" borderId="2" xfId="0" applyNumberFormat="1" applyFont="1" applyFill="1" applyBorder="1"/>
    <xf numFmtId="10" fontId="4" fillId="5" borderId="2" xfId="0" applyNumberFormat="1" applyFont="1" applyFill="1" applyBorder="1"/>
    <xf numFmtId="164" fontId="14" fillId="5" borderId="2" xfId="0" applyNumberFormat="1" applyFont="1" applyFill="1" applyBorder="1"/>
    <xf numFmtId="168" fontId="14" fillId="5" borderId="2" xfId="0" applyNumberFormat="1" applyFont="1" applyFill="1" applyBorder="1"/>
    <xf numFmtId="4" fontId="4" fillId="5" borderId="2" xfId="0" applyNumberFormat="1" applyFont="1" applyFill="1" applyBorder="1"/>
    <xf numFmtId="168" fontId="12" fillId="5" borderId="2" xfId="0" applyNumberFormat="1" applyFont="1" applyFill="1" applyBorder="1"/>
    <xf numFmtId="0" fontId="12" fillId="5" borderId="2" xfId="0" applyFont="1" applyFill="1" applyBorder="1"/>
    <xf numFmtId="0" fontId="8" fillId="0" borderId="16" xfId="0" applyFont="1" applyBorder="1"/>
    <xf numFmtId="3" fontId="8" fillId="0" borderId="16" xfId="0" applyNumberFormat="1" applyFont="1" applyBorder="1"/>
    <xf numFmtId="170" fontId="8" fillId="0" borderId="16" xfId="0" applyNumberFormat="1" applyFont="1" applyBorder="1"/>
    <xf numFmtId="164" fontId="8" fillId="0" borderId="16" xfId="0" applyNumberFormat="1" applyFont="1" applyBorder="1"/>
    <xf numFmtId="0" fontId="0" fillId="0" borderId="16" xfId="0" applyBorder="1"/>
    <xf numFmtId="0" fontId="20" fillId="2" borderId="1" xfId="0" applyFont="1" applyFill="1" applyBorder="1" applyAlignment="1">
      <alignment horizontal="center" wrapText="1"/>
    </xf>
    <xf numFmtId="165" fontId="14" fillId="0" borderId="2" xfId="0" applyNumberFormat="1" applyFont="1" applyBorder="1"/>
    <xf numFmtId="10" fontId="14" fillId="6" borderId="2" xfId="0" applyNumberFormat="1" applyFont="1" applyFill="1" applyBorder="1"/>
    <xf numFmtId="165" fontId="4" fillId="4" borderId="2" xfId="0" applyNumberFormat="1" applyFont="1" applyFill="1" applyBorder="1"/>
    <xf numFmtId="0" fontId="4" fillId="5" borderId="2" xfId="0" applyFont="1" applyFill="1" applyBorder="1"/>
    <xf numFmtId="165" fontId="14" fillId="5" borderId="2" xfId="0" applyNumberFormat="1" applyFont="1" applyFill="1" applyBorder="1"/>
    <xf numFmtId="165" fontId="4" fillId="5" borderId="2" xfId="0" applyNumberFormat="1" applyFont="1" applyFill="1" applyBorder="1"/>
    <xf numFmtId="0" fontId="4" fillId="5" borderId="17" xfId="0" applyFont="1" applyFill="1" applyBorder="1"/>
    <xf numFmtId="165" fontId="14" fillId="5" borderId="17" xfId="0" applyNumberFormat="1" applyFont="1" applyFill="1" applyBorder="1"/>
    <xf numFmtId="4" fontId="4" fillId="5" borderId="17" xfId="0" applyNumberFormat="1" applyFont="1" applyFill="1" applyBorder="1"/>
    <xf numFmtId="10" fontId="14" fillId="6" borderId="17" xfId="0" applyNumberFormat="1" applyFont="1" applyFill="1" applyBorder="1"/>
    <xf numFmtId="165" fontId="4" fillId="4" borderId="17" xfId="0" applyNumberFormat="1" applyFont="1" applyFill="1" applyBorder="1"/>
    <xf numFmtId="165" fontId="4" fillId="5" borderId="17" xfId="0" applyNumberFormat="1" applyFont="1" applyFill="1" applyBorder="1"/>
    <xf numFmtId="0" fontId="4" fillId="0" borderId="13" xfId="0" applyFont="1" applyBorder="1"/>
    <xf numFmtId="165" fontId="14" fillId="0" borderId="13" xfId="0" applyNumberFormat="1" applyFont="1" applyBorder="1"/>
    <xf numFmtId="4" fontId="4" fillId="0" borderId="13" xfId="0" applyNumberFormat="1" applyFont="1" applyBorder="1"/>
    <xf numFmtId="10" fontId="14" fillId="6" borderId="13" xfId="0" applyNumberFormat="1" applyFont="1" applyFill="1" applyBorder="1"/>
    <xf numFmtId="165" fontId="4" fillId="7" borderId="13" xfId="0" applyNumberFormat="1" applyFont="1" applyFill="1" applyBorder="1"/>
    <xf numFmtId="165" fontId="4" fillId="0" borderId="13" xfId="0" applyNumberFormat="1" applyFont="1" applyBorder="1"/>
    <xf numFmtId="165" fontId="4" fillId="7" borderId="17" xfId="0" applyNumberFormat="1" applyFont="1" applyFill="1" applyBorder="1"/>
    <xf numFmtId="0" fontId="4" fillId="8" borderId="13" xfId="0" applyFont="1" applyFill="1" applyBorder="1"/>
    <xf numFmtId="165" fontId="14" fillId="8" borderId="13" xfId="0" applyNumberFormat="1" applyFont="1" applyFill="1" applyBorder="1"/>
    <xf numFmtId="4" fontId="4" fillId="8" borderId="13" xfId="0" applyNumberFormat="1" applyFont="1" applyFill="1" applyBorder="1"/>
    <xf numFmtId="10" fontId="14" fillId="8" borderId="13" xfId="0" applyNumberFormat="1" applyFont="1" applyFill="1" applyBorder="1"/>
    <xf numFmtId="165" fontId="4" fillId="8" borderId="13" xfId="0" applyNumberFormat="1" applyFont="1" applyFill="1" applyBorder="1"/>
    <xf numFmtId="10" fontId="8" fillId="0" borderId="16" xfId="0" applyNumberFormat="1" applyFont="1" applyBorder="1"/>
    <xf numFmtId="165" fontId="0" fillId="0" borderId="0" xfId="0" applyNumberFormat="1"/>
    <xf numFmtId="4" fontId="0" fillId="0" borderId="0" xfId="0" applyNumberFormat="1"/>
    <xf numFmtId="10" fontId="0" fillId="0" borderId="0" xfId="0" applyNumberFormat="1"/>
    <xf numFmtId="0" fontId="7" fillId="0" borderId="2" xfId="0" applyFont="1" applyBorder="1"/>
    <xf numFmtId="0" fontId="15" fillId="2" borderId="0" xfId="0" applyFont="1" applyFill="1" applyAlignment="1">
      <alignment horizontal="center"/>
    </xf>
    <xf numFmtId="0" fontId="21" fillId="0" borderId="2" xfId="0" applyFont="1" applyBorder="1"/>
    <xf numFmtId="3" fontId="21" fillId="0" borderId="2" xfId="0" applyNumberFormat="1" applyFont="1" applyBorder="1"/>
    <xf numFmtId="4" fontId="21" fillId="0" borderId="2" xfId="0" applyNumberFormat="1" applyFont="1" applyBorder="1"/>
    <xf numFmtId="4" fontId="14" fillId="6" borderId="2" xfId="0" applyNumberFormat="1" applyFont="1" applyFill="1" applyBorder="1"/>
    <xf numFmtId="10" fontId="21" fillId="0" borderId="2" xfId="0" applyNumberFormat="1" applyFont="1" applyBorder="1"/>
    <xf numFmtId="0" fontId="21" fillId="5" borderId="2" xfId="0" applyFont="1" applyFill="1" applyBorder="1"/>
    <xf numFmtId="3" fontId="21" fillId="5" borderId="2" xfId="0" applyNumberFormat="1" applyFont="1" applyFill="1" applyBorder="1"/>
    <xf numFmtId="4" fontId="21" fillId="5" borderId="2" xfId="0" applyNumberFormat="1" applyFont="1" applyFill="1" applyBorder="1"/>
    <xf numFmtId="10" fontId="21" fillId="5" borderId="2" xfId="0" applyNumberFormat="1" applyFont="1" applyFill="1" applyBorder="1"/>
    <xf numFmtId="164" fontId="0" fillId="0" borderId="0" xfId="0" applyNumberFormat="1"/>
    <xf numFmtId="0" fontId="15" fillId="2" borderId="1" xfId="0" applyFont="1" applyFill="1" applyBorder="1" applyAlignment="1">
      <alignment horizontal="center"/>
    </xf>
    <xf numFmtId="164" fontId="14" fillId="6" borderId="2" xfId="0" applyNumberFormat="1" applyFont="1" applyFill="1" applyBorder="1"/>
    <xf numFmtId="0" fontId="14" fillId="6" borderId="2" xfId="0" applyFont="1" applyFill="1" applyBorder="1"/>
    <xf numFmtId="164" fontId="15" fillId="2" borderId="1" xfId="0" applyNumberFormat="1" applyFont="1" applyFill="1" applyBorder="1" applyAlignment="1">
      <alignment horizontal="center" wrapText="1"/>
    </xf>
    <xf numFmtId="165" fontId="15" fillId="2" borderId="1" xfId="0" applyNumberFormat="1" applyFont="1" applyFill="1" applyBorder="1"/>
    <xf numFmtId="3" fontId="4" fillId="0" borderId="2" xfId="0" applyNumberFormat="1" applyFont="1" applyBorder="1"/>
    <xf numFmtId="173" fontId="0" fillId="0" borderId="0" xfId="0" applyNumberFormat="1"/>
    <xf numFmtId="0" fontId="8" fillId="9" borderId="16" xfId="0" applyFont="1" applyFill="1" applyBorder="1"/>
    <xf numFmtId="164" fontId="8" fillId="9" borderId="16" xfId="0" applyNumberFormat="1" applyFont="1" applyFill="1" applyBorder="1"/>
    <xf numFmtId="165" fontId="7" fillId="0" borderId="1" xfId="0" applyNumberFormat="1" applyFont="1" applyBorder="1"/>
    <xf numFmtId="165" fontId="8" fillId="0" borderId="2" xfId="0" applyNumberFormat="1" applyFont="1" applyBorder="1"/>
    <xf numFmtId="0" fontId="22" fillId="0" borderId="0" xfId="0" applyFont="1"/>
    <xf numFmtId="0" fontId="23" fillId="0" borderId="0" xfId="0" applyFont="1"/>
    <xf numFmtId="168" fontId="21" fillId="0" borderId="2" xfId="0" applyNumberFormat="1" applyFont="1" applyBorder="1"/>
    <xf numFmtId="0" fontId="1" fillId="0" borderId="0" xfId="0" applyFont="1"/>
    <xf numFmtId="0" fontId="23" fillId="0" borderId="2" xfId="0" applyFont="1" applyBorder="1"/>
    <xf numFmtId="0" fontId="24" fillId="0" borderId="2" xfId="0" applyFont="1" applyBorder="1"/>
    <xf numFmtId="0" fontId="23" fillId="6" borderId="2" xfId="0" applyFont="1" applyFill="1" applyBorder="1"/>
    <xf numFmtId="170" fontId="1" fillId="0" borderId="0" xfId="0" applyNumberFormat="1" applyFont="1"/>
    <xf numFmtId="4" fontId="23" fillId="0" borderId="0" xfId="0" applyNumberFormat="1" applyFont="1"/>
    <xf numFmtId="172" fontId="1" fillId="0" borderId="0" xfId="0" applyNumberFormat="1" applyFont="1"/>
    <xf numFmtId="165" fontId="23" fillId="0" borderId="0" xfId="0" applyNumberFormat="1" applyFont="1"/>
    <xf numFmtId="0" fontId="23" fillId="5" borderId="2" xfId="0" applyFont="1" applyFill="1" applyBorder="1"/>
    <xf numFmtId="0" fontId="24" fillId="5" borderId="2" xfId="0" applyFont="1" applyFill="1" applyBorder="1"/>
    <xf numFmtId="168" fontId="21" fillId="5" borderId="2" xfId="0" applyNumberFormat="1" applyFont="1" applyFill="1" applyBorder="1"/>
    <xf numFmtId="0" fontId="23" fillId="6" borderId="0" xfId="0" applyFont="1" applyFill="1"/>
    <xf numFmtId="0" fontId="25" fillId="2" borderId="1" xfId="0" applyFont="1" applyFill="1" applyBorder="1" applyAlignment="1">
      <alignment horizontal="center" wrapText="1"/>
    </xf>
    <xf numFmtId="4" fontId="25" fillId="2" borderId="1" xfId="0" applyNumberFormat="1" applyFont="1" applyFill="1" applyBorder="1" applyAlignment="1">
      <alignment horizontal="center" wrapText="1"/>
    </xf>
    <xf numFmtId="3" fontId="23" fillId="0" borderId="0" xfId="0" applyNumberFormat="1" applyFont="1"/>
    <xf numFmtId="171" fontId="23" fillId="0" borderId="0" xfId="0" applyNumberFormat="1" applyFont="1"/>
    <xf numFmtId="164" fontId="23" fillId="0" borderId="0" xfId="0" applyNumberFormat="1" applyFont="1"/>
    <xf numFmtId="0" fontId="8" fillId="0" borderId="0" xfId="0" applyFont="1"/>
    <xf numFmtId="0" fontId="23" fillId="10" borderId="0" xfId="0" applyFont="1" applyFill="1"/>
    <xf numFmtId="0" fontId="14" fillId="0" borderId="19" xfId="0" applyFont="1" applyBorder="1"/>
    <xf numFmtId="0" fontId="22" fillId="0" borderId="19" xfId="0" applyFont="1" applyBorder="1"/>
    <xf numFmtId="0" fontId="14" fillId="5" borderId="19" xfId="0" applyFont="1" applyFill="1" applyBorder="1"/>
    <xf numFmtId="0" fontId="22" fillId="5" borderId="19" xfId="0" applyFont="1" applyFill="1" applyBorder="1"/>
    <xf numFmtId="0" fontId="23" fillId="0" borderId="19" xfId="0" applyFont="1" applyBorder="1"/>
    <xf numFmtId="0" fontId="15" fillId="2" borderId="18" xfId="0" applyFont="1" applyFill="1" applyBorder="1"/>
    <xf numFmtId="0" fontId="1" fillId="0" borderId="18" xfId="0" applyFont="1" applyBorder="1"/>
    <xf numFmtId="170" fontId="1" fillId="0" borderId="18" xfId="0" applyNumberFormat="1" applyFont="1" applyBorder="1"/>
    <xf numFmtId="172" fontId="1" fillId="0" borderId="18" xfId="0" applyNumberFormat="1" applyFont="1" applyBorder="1"/>
    <xf numFmtId="0" fontId="23" fillId="0" borderId="18" xfId="0" applyFont="1" applyBorder="1"/>
    <xf numFmtId="0" fontId="26" fillId="0" borderId="0" xfId="0" applyFont="1"/>
    <xf numFmtId="10" fontId="14" fillId="10" borderId="2" xfId="0" applyNumberFormat="1" applyFont="1" applyFill="1" applyBorder="1"/>
    <xf numFmtId="0" fontId="23" fillId="10" borderId="2" xfId="0" applyFont="1" applyFill="1" applyBorder="1"/>
    <xf numFmtId="10" fontId="14" fillId="11" borderId="2" xfId="0" applyNumberFormat="1" applyFont="1" applyFill="1" applyBorder="1"/>
    <xf numFmtId="0" fontId="23" fillId="11" borderId="2" xfId="0" applyFont="1" applyFill="1" applyBorder="1"/>
    <xf numFmtId="9" fontId="14" fillId="10" borderId="2" xfId="0" applyNumberFormat="1" applyFont="1" applyFill="1" applyBorder="1"/>
    <xf numFmtId="9" fontId="23" fillId="10" borderId="2" xfId="0" applyNumberFormat="1" applyFont="1" applyFill="1" applyBorder="1"/>
    <xf numFmtId="9" fontId="14" fillId="11" borderId="2" xfId="0" applyNumberFormat="1" applyFont="1" applyFill="1" applyBorder="1"/>
    <xf numFmtId="9" fontId="23" fillId="11" borderId="2" xfId="0" applyNumberFormat="1" applyFont="1" applyFill="1" applyBorder="1"/>
    <xf numFmtId="9" fontId="23" fillId="10" borderId="0" xfId="0" applyNumberFormat="1" applyFont="1" applyFill="1"/>
    <xf numFmtId="4" fontId="14" fillId="10" borderId="2" xfId="0" applyNumberFormat="1" applyFont="1" applyFill="1" applyBorder="1"/>
    <xf numFmtId="4" fontId="14" fillId="11" borderId="2" xfId="0" applyNumberFormat="1" applyFont="1" applyFill="1" applyBorder="1"/>
    <xf numFmtId="0" fontId="8" fillId="0" borderId="13" xfId="0" applyFont="1" applyBorder="1"/>
    <xf numFmtId="164" fontId="8" fillId="0" borderId="13" xfId="0" applyNumberFormat="1" applyFont="1" applyBorder="1"/>
    <xf numFmtId="165" fontId="4" fillId="0" borderId="17" xfId="0" applyNumberFormat="1" applyFont="1" applyBorder="1"/>
    <xf numFmtId="0" fontId="4" fillId="0" borderId="17" xfId="0" applyFont="1" applyBorder="1"/>
    <xf numFmtId="165" fontId="4" fillId="0" borderId="20" xfId="0" applyNumberFormat="1" applyFont="1" applyBorder="1"/>
    <xf numFmtId="0" fontId="27" fillId="0" borderId="17" xfId="0" applyFont="1" applyBorder="1"/>
    <xf numFmtId="165" fontId="27" fillId="0" borderId="17" xfId="0" applyNumberFormat="1" applyFont="1" applyBorder="1"/>
    <xf numFmtId="0" fontId="9" fillId="0" borderId="21" xfId="0" applyFont="1" applyBorder="1"/>
    <xf numFmtId="0" fontId="23" fillId="0" borderId="21" xfId="0" applyFont="1" applyBorder="1"/>
    <xf numFmtId="0" fontId="23" fillId="0" borderId="22" xfId="0" applyFont="1" applyBorder="1"/>
    <xf numFmtId="0" fontId="9" fillId="0" borderId="23" xfId="0" applyFont="1" applyBorder="1"/>
    <xf numFmtId="0" fontId="28" fillId="0" borderId="24" xfId="0" applyFont="1" applyBorder="1"/>
    <xf numFmtId="0" fontId="28" fillId="0" borderId="25" xfId="0" applyFont="1" applyBorder="1"/>
    <xf numFmtId="0" fontId="28" fillId="0" borderId="26" xfId="0" applyFont="1" applyBorder="1"/>
    <xf numFmtId="172" fontId="9" fillId="0" borderId="27" xfId="0" applyNumberFormat="1" applyFont="1" applyBorder="1"/>
    <xf numFmtId="172" fontId="9" fillId="0" borderId="25" xfId="0" applyNumberFormat="1" applyFont="1" applyBorder="1"/>
    <xf numFmtId="172" fontId="28" fillId="0" borderId="28" xfId="0" applyNumberFormat="1" applyFont="1" applyBorder="1"/>
    <xf numFmtId="0" fontId="9" fillId="0" borderId="9" xfId="0" applyFont="1" applyBorder="1"/>
    <xf numFmtId="0" fontId="28" fillId="0" borderId="29" xfId="0" applyFont="1" applyBorder="1"/>
    <xf numFmtId="0" fontId="28" fillId="0" borderId="30" xfId="0" applyFont="1" applyBorder="1"/>
    <xf numFmtId="0" fontId="28" fillId="0" borderId="31" xfId="0" applyFont="1" applyBorder="1"/>
    <xf numFmtId="172" fontId="9" fillId="0" borderId="32" xfId="0" applyNumberFormat="1" applyFont="1" applyBorder="1"/>
    <xf numFmtId="3" fontId="29" fillId="0" borderId="18" xfId="0" applyNumberFormat="1" applyFont="1" applyBorder="1"/>
    <xf numFmtId="3" fontId="29" fillId="0" borderId="0" xfId="0" applyNumberFormat="1" applyFont="1"/>
    <xf numFmtId="171" fontId="29" fillId="0" borderId="18" xfId="0" applyNumberFormat="1" applyFont="1" applyBorder="1"/>
    <xf numFmtId="171" fontId="29" fillId="0" borderId="0" xfId="0" applyNumberFormat="1" applyFont="1"/>
    <xf numFmtId="3" fontId="30" fillId="0" borderId="18" xfId="0" applyNumberFormat="1" applyFont="1" applyBorder="1"/>
    <xf numFmtId="3" fontId="30" fillId="0" borderId="0" xfId="0" applyNumberFormat="1" applyFont="1"/>
    <xf numFmtId="171" fontId="30" fillId="0" borderId="18" xfId="0" applyNumberFormat="1" applyFont="1" applyBorder="1"/>
    <xf numFmtId="171" fontId="30" fillId="0" borderId="0" xfId="0" applyNumberFormat="1" applyFont="1"/>
    <xf numFmtId="165" fontId="9" fillId="0" borderId="2" xfId="0" applyNumberFormat="1" applyFont="1" applyBorder="1"/>
    <xf numFmtId="165" fontId="4" fillId="0" borderId="0" xfId="0" applyNumberFormat="1" applyFont="1"/>
    <xf numFmtId="0" fontId="9" fillId="0" borderId="0" xfId="0" applyFont="1"/>
    <xf numFmtId="0" fontId="31" fillId="0" borderId="0" xfId="0" applyFont="1"/>
    <xf numFmtId="165" fontId="9" fillId="0" borderId="0" xfId="0" applyNumberFormat="1" applyFont="1"/>
    <xf numFmtId="1" fontId="0" fillId="0" borderId="2" xfId="0" applyNumberFormat="1" applyBorder="1"/>
    <xf numFmtId="164" fontId="4" fillId="12" borderId="2" xfId="0" applyNumberFormat="1" applyFont="1" applyFill="1" applyBorder="1"/>
    <xf numFmtId="8" fontId="8" fillId="0" borderId="16" xfId="0" applyNumberFormat="1" applyFont="1" applyBorder="1"/>
    <xf numFmtId="8" fontId="32" fillId="0" borderId="0" xfId="0" applyNumberFormat="1" applyFont="1"/>
    <xf numFmtId="0" fontId="8" fillId="13" borderId="1" xfId="0" applyFont="1" applyFill="1" applyBorder="1"/>
    <xf numFmtId="164" fontId="8" fillId="13" borderId="1" xfId="0" applyNumberFormat="1" applyFont="1" applyFill="1" applyBorder="1"/>
    <xf numFmtId="167" fontId="33" fillId="3" borderId="0" xfId="0" applyNumberFormat="1" applyFont="1" applyFill="1"/>
    <xf numFmtId="0" fontId="34" fillId="0" borderId="0" xfId="0" applyFont="1"/>
    <xf numFmtId="8" fontId="34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EBF1DE"/>
      <rgbColor rgb="FFE8ECF1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F2F2F2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FF6600"/>
      <rgbColor rgb="FF666666"/>
      <rgbColor rgb="FF888888"/>
      <rgbColor rgb="FF003366"/>
      <rgbColor rgb="FF339966"/>
      <rgbColor rgb="FF003300"/>
      <rgbColor rgb="FF333300"/>
      <rgbColor rgb="FF993300"/>
      <rgbColor rgb="FF993366"/>
      <rgbColor rgb="FF333399"/>
      <rgbColor rgb="FF20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egan Tingey" id="{25DB4D5D-48FD-4BFD-B4BD-E0C03112E2BE}" userId="e05e0e0d1d14de3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8" dT="2026-04-06T02:29:42.88" personId="{25DB4D5D-48FD-4BFD-B4BD-E0C03112E2BE}" id="{2EFA4F2C-C3D3-4486-8A65-5A9382EBDC34}">
    <text>Not driving anything yet - just for a check</text>
  </threadedComment>
  <threadedComment ref="B34" dT="2026-04-06T05:59:10.25" personId="{25DB4D5D-48FD-4BFD-B4BD-E0C03112E2BE}" id="{959D2446-A04E-4B5B-96E3-E0645F1F4A7E}">
    <text>Don’t want to double count this, because its already in sources and uses, so 0 it out</text>
  </threadedComment>
  <threadedComment ref="B43" dT="2026-04-06T05:29:33.48" personId="{25DB4D5D-48FD-4BFD-B4BD-E0C03112E2BE}" id="{B127F576-31B1-4C22-974E-DB0363D49641}">
    <text>Important: this is currently just multiplying the monthly NOI by 12, not doing a T12, need to change?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3" dT="2026-04-06T01:55:48.64" personId="{25DB4D5D-48FD-4BFD-B4BD-E0C03112E2BE}" id="{E7BBF76A-7F0E-4BFE-A590-57FDF07E0D82}">
    <text>Formula will pick up any text as “MTM” lease, and a blank cell or “0” as VACANT</text>
  </threadedComment>
  <threadedComment ref="M3" dT="2026-04-06T01:54:02.16" personId="{25DB4D5D-48FD-4BFD-B4BD-E0C03112E2BE}" id="{D1947AF7-B49A-4235-80A8-F483FC801570}">
    <text>Default will be to go to Overview percent, can manually change here</text>
  </threadedComment>
  <threadedComment ref="O3" dT="2026-04-06T03:08:21.58" personId="{25DB4D5D-48FD-4BFD-B4BD-E0C03112E2BE}" id="{FDB3AA9E-C013-4C40-919F-4FA6D862E464}">
    <text>When it’s a Vacant - this wont drive anything</text>
  </threadedComment>
  <threadedComment ref="Q3" dT="2026-04-06T02:08:36.97" personId="{25DB4D5D-48FD-4BFD-B4BD-E0C03112E2BE}" id="{721372E8-F665-4B04-AEE8-1A71885799D1}">
    <text>IF its Vacant or a MTM and we’re assuming a new lease - set these equal to the Renewal $/Sf</text>
  </threadedComment>
  <threadedComment ref="U3" dT="2026-04-06T02:02:29.76" personId="{25DB4D5D-48FD-4BFD-B4BD-E0C03112E2BE}" id="{985571A3-8F17-40BD-A05C-6A0D9873B6F9}">
    <text>Have to go in and Hard code just the vacant units, leave all the rest as 0, unless you want to change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21" dT="2026-04-06T05:20:48.59" personId="{25DB4D5D-48FD-4BFD-B4BD-E0C03112E2BE}" id="{D7E79431-4372-4F70-8E89-810D9A26333C}">
    <text>THIS IS THE MAIN DRIVER RIGHT NOW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4"/>
  </sheetPr>
  <dimension ref="A1:BK59"/>
  <sheetViews>
    <sheetView zoomScaleNormal="100" workbookViewId="0">
      <pane xSplit="2" ySplit="4" topLeftCell="C28" activePane="bottomRight" state="frozen"/>
      <selection pane="topRight" activeCell="AR1" sqref="AR1"/>
      <selection pane="bottomLeft" activeCell="A5" sqref="A5"/>
      <selection pane="bottomRight" activeCell="C35" sqref="C35"/>
    </sheetView>
  </sheetViews>
  <sheetFormatPr defaultColWidth="8.7109375" defaultRowHeight="15" x14ac:dyDescent="0.25"/>
  <cols>
    <col min="1" max="1" width="2" customWidth="1"/>
    <col min="2" max="2" width="32" customWidth="1"/>
    <col min="3" max="62" width="12" customWidth="1"/>
  </cols>
  <sheetData>
    <row r="1" spans="1:62" ht="15.75" customHeight="1" x14ac:dyDescent="0.25">
      <c r="A1" s="234" t="s">
        <v>0</v>
      </c>
      <c r="B1" s="234"/>
    </row>
    <row r="2" spans="1:62" x14ac:dyDescent="0.25">
      <c r="B2" t="s">
        <v>1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  <c r="AH2" s="2">
        <v>32</v>
      </c>
      <c r="AI2" s="2">
        <v>33</v>
      </c>
      <c r="AJ2" s="2">
        <v>34</v>
      </c>
      <c r="AK2" s="2">
        <v>35</v>
      </c>
      <c r="AL2" s="2">
        <v>36</v>
      </c>
      <c r="AM2" s="2">
        <v>37</v>
      </c>
      <c r="AN2" s="2">
        <v>38</v>
      </c>
      <c r="AO2" s="2">
        <v>39</v>
      </c>
      <c r="AP2" s="2">
        <v>40</v>
      </c>
      <c r="AQ2" s="2">
        <v>41</v>
      </c>
      <c r="AR2" s="2">
        <v>42</v>
      </c>
      <c r="AS2" s="2">
        <v>43</v>
      </c>
      <c r="AT2" s="2">
        <v>44</v>
      </c>
      <c r="AU2" s="2">
        <v>45</v>
      </c>
      <c r="AV2" s="2">
        <v>46</v>
      </c>
      <c r="AW2" s="2">
        <v>47</v>
      </c>
      <c r="AX2" s="2">
        <v>48</v>
      </c>
      <c r="AY2" s="2">
        <v>49</v>
      </c>
      <c r="AZ2" s="2">
        <v>50</v>
      </c>
      <c r="BA2" s="2">
        <v>51</v>
      </c>
      <c r="BB2" s="2">
        <v>52</v>
      </c>
      <c r="BC2" s="2">
        <v>53</v>
      </c>
      <c r="BD2" s="2">
        <v>54</v>
      </c>
      <c r="BE2" s="2">
        <v>55</v>
      </c>
      <c r="BF2" s="2">
        <v>56</v>
      </c>
      <c r="BG2" s="2">
        <v>57</v>
      </c>
      <c r="BH2" s="2">
        <v>58</v>
      </c>
      <c r="BI2" s="2">
        <v>59</v>
      </c>
      <c r="BJ2" s="2">
        <v>60</v>
      </c>
    </row>
    <row r="3" spans="1:62" x14ac:dyDescent="0.25">
      <c r="B3" s="3" t="s">
        <v>2</v>
      </c>
      <c r="C3" s="4">
        <f>INT((C2-1)/12)+1</f>
        <v>1</v>
      </c>
      <c r="D3" s="4">
        <f t="shared" ref="D3:BJ3" si="0">INT((D2-1)/12)+1</f>
        <v>1</v>
      </c>
      <c r="E3" s="4">
        <f t="shared" si="0"/>
        <v>1</v>
      </c>
      <c r="F3" s="4">
        <f t="shared" si="0"/>
        <v>1</v>
      </c>
      <c r="G3" s="4">
        <f t="shared" si="0"/>
        <v>1</v>
      </c>
      <c r="H3" s="4">
        <f t="shared" si="0"/>
        <v>1</v>
      </c>
      <c r="I3" s="4">
        <f t="shared" si="0"/>
        <v>1</v>
      </c>
      <c r="J3" s="4">
        <f t="shared" si="0"/>
        <v>1</v>
      </c>
      <c r="K3" s="4">
        <f t="shared" si="0"/>
        <v>1</v>
      </c>
      <c r="L3" s="4">
        <f t="shared" si="0"/>
        <v>1</v>
      </c>
      <c r="M3" s="4">
        <f t="shared" si="0"/>
        <v>1</v>
      </c>
      <c r="N3" s="4">
        <f t="shared" si="0"/>
        <v>1</v>
      </c>
      <c r="O3" s="4">
        <f t="shared" si="0"/>
        <v>2</v>
      </c>
      <c r="P3" s="4">
        <f t="shared" si="0"/>
        <v>2</v>
      </c>
      <c r="Q3" s="4">
        <f t="shared" si="0"/>
        <v>2</v>
      </c>
      <c r="R3" s="4">
        <f t="shared" si="0"/>
        <v>2</v>
      </c>
      <c r="S3" s="4">
        <f t="shared" si="0"/>
        <v>2</v>
      </c>
      <c r="T3" s="4">
        <f t="shared" si="0"/>
        <v>2</v>
      </c>
      <c r="U3" s="4">
        <f t="shared" si="0"/>
        <v>2</v>
      </c>
      <c r="V3" s="4">
        <f t="shared" si="0"/>
        <v>2</v>
      </c>
      <c r="W3" s="4">
        <f t="shared" si="0"/>
        <v>2</v>
      </c>
      <c r="X3" s="4">
        <f t="shared" si="0"/>
        <v>2</v>
      </c>
      <c r="Y3" s="4">
        <f t="shared" si="0"/>
        <v>2</v>
      </c>
      <c r="Z3" s="4">
        <f t="shared" si="0"/>
        <v>2</v>
      </c>
      <c r="AA3" s="4">
        <f t="shared" si="0"/>
        <v>3</v>
      </c>
      <c r="AB3" s="4">
        <f t="shared" si="0"/>
        <v>3</v>
      </c>
      <c r="AC3" s="4">
        <f t="shared" si="0"/>
        <v>3</v>
      </c>
      <c r="AD3" s="4">
        <f t="shared" si="0"/>
        <v>3</v>
      </c>
      <c r="AE3" s="4">
        <f t="shared" si="0"/>
        <v>3</v>
      </c>
      <c r="AF3" s="4">
        <f t="shared" si="0"/>
        <v>3</v>
      </c>
      <c r="AG3" s="4">
        <f t="shared" si="0"/>
        <v>3</v>
      </c>
      <c r="AH3" s="4">
        <f t="shared" si="0"/>
        <v>3</v>
      </c>
      <c r="AI3" s="4">
        <f t="shared" si="0"/>
        <v>3</v>
      </c>
      <c r="AJ3" s="4">
        <f t="shared" si="0"/>
        <v>3</v>
      </c>
      <c r="AK3" s="4">
        <f t="shared" si="0"/>
        <v>3</v>
      </c>
      <c r="AL3" s="4">
        <f t="shared" si="0"/>
        <v>3</v>
      </c>
      <c r="AM3" s="4">
        <f t="shared" si="0"/>
        <v>4</v>
      </c>
      <c r="AN3" s="4">
        <f t="shared" si="0"/>
        <v>4</v>
      </c>
      <c r="AO3" s="4">
        <f t="shared" si="0"/>
        <v>4</v>
      </c>
      <c r="AP3" s="4">
        <f t="shared" si="0"/>
        <v>4</v>
      </c>
      <c r="AQ3" s="4">
        <f t="shared" si="0"/>
        <v>4</v>
      </c>
      <c r="AR3" s="4">
        <f t="shared" si="0"/>
        <v>4</v>
      </c>
      <c r="AS3" s="4">
        <f t="shared" si="0"/>
        <v>4</v>
      </c>
      <c r="AT3" s="4">
        <f t="shared" si="0"/>
        <v>4</v>
      </c>
      <c r="AU3" s="4">
        <f t="shared" si="0"/>
        <v>4</v>
      </c>
      <c r="AV3" s="4">
        <f t="shared" si="0"/>
        <v>4</v>
      </c>
      <c r="AW3" s="4">
        <f t="shared" si="0"/>
        <v>4</v>
      </c>
      <c r="AX3" s="4">
        <f t="shared" si="0"/>
        <v>4</v>
      </c>
      <c r="AY3" s="4">
        <f t="shared" si="0"/>
        <v>5</v>
      </c>
      <c r="AZ3" s="4">
        <f t="shared" si="0"/>
        <v>5</v>
      </c>
      <c r="BA3" s="4">
        <f t="shared" si="0"/>
        <v>5</v>
      </c>
      <c r="BB3" s="4">
        <f t="shared" si="0"/>
        <v>5</v>
      </c>
      <c r="BC3" s="4">
        <f t="shared" si="0"/>
        <v>5</v>
      </c>
      <c r="BD3" s="4">
        <f t="shared" si="0"/>
        <v>5</v>
      </c>
      <c r="BE3" s="4">
        <f t="shared" si="0"/>
        <v>5</v>
      </c>
      <c r="BF3" s="4">
        <f t="shared" si="0"/>
        <v>5</v>
      </c>
      <c r="BG3" s="4">
        <f t="shared" si="0"/>
        <v>5</v>
      </c>
      <c r="BH3" s="4">
        <f t="shared" si="0"/>
        <v>5</v>
      </c>
      <c r="BI3" s="4">
        <f t="shared" si="0"/>
        <v>5</v>
      </c>
      <c r="BJ3" s="4">
        <f t="shared" si="0"/>
        <v>5</v>
      </c>
    </row>
    <row r="4" spans="1:62" x14ac:dyDescent="0.25">
      <c r="B4" s="3" t="s">
        <v>3</v>
      </c>
      <c r="C4" s="5">
        <f t="shared" ref="C4:AH4" si="1">EDATE(Close_Date,C2-1)</f>
        <v>46143</v>
      </c>
      <c r="D4" s="5">
        <f t="shared" si="1"/>
        <v>46174</v>
      </c>
      <c r="E4" s="5">
        <f t="shared" si="1"/>
        <v>46204</v>
      </c>
      <c r="F4" s="5">
        <f t="shared" si="1"/>
        <v>46235</v>
      </c>
      <c r="G4" s="5">
        <f t="shared" si="1"/>
        <v>46266</v>
      </c>
      <c r="H4" s="5">
        <f t="shared" si="1"/>
        <v>46296</v>
      </c>
      <c r="I4" s="5">
        <f t="shared" si="1"/>
        <v>46327</v>
      </c>
      <c r="J4" s="5">
        <f t="shared" si="1"/>
        <v>46357</v>
      </c>
      <c r="K4" s="5">
        <f t="shared" si="1"/>
        <v>46388</v>
      </c>
      <c r="L4" s="5">
        <f t="shared" si="1"/>
        <v>46419</v>
      </c>
      <c r="M4" s="5">
        <f t="shared" si="1"/>
        <v>46447</v>
      </c>
      <c r="N4" s="5">
        <f t="shared" si="1"/>
        <v>46478</v>
      </c>
      <c r="O4" s="5">
        <f t="shared" si="1"/>
        <v>46508</v>
      </c>
      <c r="P4" s="5">
        <f t="shared" si="1"/>
        <v>46539</v>
      </c>
      <c r="Q4" s="5">
        <f t="shared" si="1"/>
        <v>46569</v>
      </c>
      <c r="R4" s="5">
        <f t="shared" si="1"/>
        <v>46600</v>
      </c>
      <c r="S4" s="5">
        <f t="shared" si="1"/>
        <v>46631</v>
      </c>
      <c r="T4" s="5">
        <f t="shared" si="1"/>
        <v>46661</v>
      </c>
      <c r="U4" s="5">
        <f t="shared" si="1"/>
        <v>46692</v>
      </c>
      <c r="V4" s="5">
        <f t="shared" si="1"/>
        <v>46722</v>
      </c>
      <c r="W4" s="5">
        <f t="shared" si="1"/>
        <v>46753</v>
      </c>
      <c r="X4" s="5">
        <f t="shared" si="1"/>
        <v>46784</v>
      </c>
      <c r="Y4" s="5">
        <f t="shared" si="1"/>
        <v>46813</v>
      </c>
      <c r="Z4" s="5">
        <f t="shared" si="1"/>
        <v>46844</v>
      </c>
      <c r="AA4" s="5">
        <f t="shared" si="1"/>
        <v>46874</v>
      </c>
      <c r="AB4" s="5">
        <f t="shared" si="1"/>
        <v>46905</v>
      </c>
      <c r="AC4" s="5">
        <f t="shared" si="1"/>
        <v>46935</v>
      </c>
      <c r="AD4" s="5">
        <f t="shared" si="1"/>
        <v>46966</v>
      </c>
      <c r="AE4" s="5">
        <f t="shared" si="1"/>
        <v>46997</v>
      </c>
      <c r="AF4" s="5">
        <f t="shared" si="1"/>
        <v>47027</v>
      </c>
      <c r="AG4" s="5">
        <f t="shared" si="1"/>
        <v>47058</v>
      </c>
      <c r="AH4" s="5">
        <f t="shared" si="1"/>
        <v>47088</v>
      </c>
      <c r="AI4" s="5">
        <f t="shared" ref="AI4:BJ4" si="2">EDATE(Close_Date,AI2-1)</f>
        <v>47119</v>
      </c>
      <c r="AJ4" s="5">
        <f t="shared" si="2"/>
        <v>47150</v>
      </c>
      <c r="AK4" s="5">
        <f t="shared" si="2"/>
        <v>47178</v>
      </c>
      <c r="AL4" s="5">
        <f t="shared" si="2"/>
        <v>47209</v>
      </c>
      <c r="AM4" s="5">
        <f t="shared" si="2"/>
        <v>47239</v>
      </c>
      <c r="AN4" s="5">
        <f t="shared" si="2"/>
        <v>47270</v>
      </c>
      <c r="AO4" s="5">
        <f t="shared" si="2"/>
        <v>47300</v>
      </c>
      <c r="AP4" s="5">
        <f t="shared" si="2"/>
        <v>47331</v>
      </c>
      <c r="AQ4" s="5">
        <f t="shared" si="2"/>
        <v>47362</v>
      </c>
      <c r="AR4" s="5">
        <f t="shared" si="2"/>
        <v>47392</v>
      </c>
      <c r="AS4" s="5">
        <f t="shared" si="2"/>
        <v>47423</v>
      </c>
      <c r="AT4" s="5">
        <f t="shared" si="2"/>
        <v>47453</v>
      </c>
      <c r="AU4" s="5">
        <f t="shared" si="2"/>
        <v>47484</v>
      </c>
      <c r="AV4" s="5">
        <f t="shared" si="2"/>
        <v>47515</v>
      </c>
      <c r="AW4" s="5">
        <f t="shared" si="2"/>
        <v>47543</v>
      </c>
      <c r="AX4" s="5">
        <f t="shared" si="2"/>
        <v>47574</v>
      </c>
      <c r="AY4" s="5">
        <f t="shared" si="2"/>
        <v>47604</v>
      </c>
      <c r="AZ4" s="5">
        <f t="shared" si="2"/>
        <v>47635</v>
      </c>
      <c r="BA4" s="5">
        <f t="shared" si="2"/>
        <v>47665</v>
      </c>
      <c r="BB4" s="5">
        <f t="shared" si="2"/>
        <v>47696</v>
      </c>
      <c r="BC4" s="5">
        <f t="shared" si="2"/>
        <v>47727</v>
      </c>
      <c r="BD4" s="5">
        <f t="shared" si="2"/>
        <v>47757</v>
      </c>
      <c r="BE4" s="5">
        <f t="shared" si="2"/>
        <v>47788</v>
      </c>
      <c r="BF4" s="5">
        <f t="shared" si="2"/>
        <v>47818</v>
      </c>
      <c r="BG4" s="5">
        <f t="shared" si="2"/>
        <v>47849</v>
      </c>
      <c r="BH4" s="5">
        <f t="shared" si="2"/>
        <v>47880</v>
      </c>
      <c r="BI4" s="5">
        <f t="shared" si="2"/>
        <v>47908</v>
      </c>
      <c r="BJ4" s="5">
        <f t="shared" si="2"/>
        <v>47939</v>
      </c>
    </row>
    <row r="6" spans="1:62" x14ac:dyDescent="0.25"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</row>
    <row r="7" spans="1:62" x14ac:dyDescent="0.25">
      <c r="B7" s="7" t="s">
        <v>5</v>
      </c>
      <c r="C7" s="8">
        <f>'Rent Roll'!V44</f>
        <v>14111.5</v>
      </c>
      <c r="D7" s="8">
        <f>'Rent Roll'!W44</f>
        <v>14111.5</v>
      </c>
      <c r="E7" s="8">
        <f>'Rent Roll'!X44</f>
        <v>14111.5</v>
      </c>
      <c r="F7" s="8">
        <f>'Rent Roll'!Y44</f>
        <v>14111.5</v>
      </c>
      <c r="G7" s="8">
        <f>'Rent Roll'!Z44</f>
        <v>14111.5</v>
      </c>
      <c r="H7" s="8">
        <f>'Rent Roll'!AA44</f>
        <v>16371.5</v>
      </c>
      <c r="I7" s="8">
        <f>'Rent Roll'!AB44</f>
        <v>19014</v>
      </c>
      <c r="J7" s="8">
        <f>'Rent Roll'!AC44</f>
        <v>19014</v>
      </c>
      <c r="K7" s="8">
        <f>'Rent Roll'!AD44</f>
        <v>19014</v>
      </c>
      <c r="L7" s="8">
        <f>'Rent Roll'!AE44</f>
        <v>19014</v>
      </c>
      <c r="M7" s="8">
        <f>'Rent Roll'!AF44</f>
        <v>19014</v>
      </c>
      <c r="N7" s="8">
        <f>'Rent Roll'!AG44</f>
        <v>19014</v>
      </c>
      <c r="O7" s="8">
        <f>'Rent Roll'!AH44</f>
        <v>19504.52961825431</v>
      </c>
      <c r="P7" s="8">
        <f>'Rent Roll'!AI44</f>
        <v>19504.52961825431</v>
      </c>
      <c r="Q7" s="8">
        <f>'Rent Roll'!AJ44</f>
        <v>19504.52961825431</v>
      </c>
      <c r="R7" s="8">
        <f>'Rent Roll'!AK44</f>
        <v>19504.52961825431</v>
      </c>
      <c r="S7" s="8">
        <f>'Rent Roll'!AL44</f>
        <v>19504.52961825431</v>
      </c>
      <c r="T7" s="8">
        <f>'Rent Roll'!AM44</f>
        <v>19504.52961825431</v>
      </c>
      <c r="U7" s="8">
        <f>'Rent Roll'!AN44</f>
        <v>19504.52961825431</v>
      </c>
      <c r="V7" s="8">
        <f>'Rent Roll'!AO44</f>
        <v>19504.52961825431</v>
      </c>
      <c r="W7" s="8">
        <f>'Rent Roll'!AP44</f>
        <v>19504.52961825431</v>
      </c>
      <c r="X7" s="8">
        <f>'Rent Roll'!AQ44</f>
        <v>19504.52961825431</v>
      </c>
      <c r="Y7" s="8">
        <f>'Rent Roll'!AR44</f>
        <v>19504.52961825431</v>
      </c>
      <c r="Z7" s="8">
        <f>'Rent Roll'!AS44</f>
        <v>19504.52961825431</v>
      </c>
      <c r="AA7" s="8">
        <f>'Rent Roll'!AT44</f>
        <v>20008.201857538945</v>
      </c>
      <c r="AB7" s="8">
        <f>'Rent Roll'!AU44</f>
        <v>20008.201857538945</v>
      </c>
      <c r="AC7" s="8">
        <f>'Rent Roll'!AV44</f>
        <v>20008.201857538945</v>
      </c>
      <c r="AD7" s="8">
        <f>'Rent Roll'!AW44</f>
        <v>20008.201857538945</v>
      </c>
      <c r="AE7" s="8">
        <f>'Rent Roll'!AX44</f>
        <v>20008.201857538945</v>
      </c>
      <c r="AF7" s="8">
        <f>'Rent Roll'!AY44</f>
        <v>20008.201857538945</v>
      </c>
      <c r="AG7" s="8">
        <f>'Rent Roll'!AZ44</f>
        <v>19904.070857538944</v>
      </c>
      <c r="AH7" s="8">
        <f>'Rent Roll'!BA44</f>
        <v>19904.070857538944</v>
      </c>
      <c r="AI7" s="8">
        <f>'Rent Roll'!BB44</f>
        <v>19904.070857538944</v>
      </c>
      <c r="AJ7" s="8">
        <f>'Rent Roll'!BC44</f>
        <v>19904.070857538944</v>
      </c>
      <c r="AK7" s="8">
        <f>'Rent Roll'!BD44</f>
        <v>19904.070857538944</v>
      </c>
      <c r="AL7" s="8">
        <f>'Rent Roll'!BE44</f>
        <v>19739.81001878238</v>
      </c>
      <c r="AM7" s="8">
        <f>'Rent Roll'!BF44</f>
        <v>20765.498699157433</v>
      </c>
      <c r="AN7" s="8">
        <f>'Rent Roll'!BG44</f>
        <v>20765.498699157433</v>
      </c>
      <c r="AO7" s="8">
        <f>'Rent Roll'!BH44</f>
        <v>20765.498699157433</v>
      </c>
      <c r="AP7" s="8">
        <f>'Rent Roll'!BI44</f>
        <v>20765.498699157433</v>
      </c>
      <c r="AQ7" s="8">
        <f>'Rent Roll'!BJ44</f>
        <v>20765.498699157433</v>
      </c>
      <c r="AR7" s="8">
        <f>'Rent Roll'!BK44</f>
        <v>20379.012517192423</v>
      </c>
      <c r="AS7" s="8">
        <f>'Rent Roll'!BL44</f>
        <v>20379.012517192423</v>
      </c>
      <c r="AT7" s="8">
        <f>'Rent Roll'!BM44</f>
        <v>20379.012517192423</v>
      </c>
      <c r="AU7" s="8">
        <f>'Rent Roll'!BN44</f>
        <v>20379.012517192423</v>
      </c>
      <c r="AV7" s="8">
        <f>'Rent Roll'!BO44</f>
        <v>20379.012517192423</v>
      </c>
      <c r="AW7" s="8">
        <f>'Rent Roll'!BP44</f>
        <v>20379.012517192423</v>
      </c>
      <c r="AX7" s="8">
        <f>'Rent Roll'!BQ44</f>
        <v>20988.207819692427</v>
      </c>
      <c r="AY7" s="8">
        <f>'Rent Roll'!BR44</f>
        <v>21561.674877345213</v>
      </c>
      <c r="AZ7" s="8">
        <f>'Rent Roll'!BS44</f>
        <v>21561.674877345213</v>
      </c>
      <c r="BA7" s="8">
        <f>'Rent Roll'!BT44</f>
        <v>21561.674877345213</v>
      </c>
      <c r="BB7" s="8">
        <f>'Rent Roll'!BU44</f>
        <v>21561.674877345213</v>
      </c>
      <c r="BC7" s="8">
        <f>'Rent Roll'!BV44</f>
        <v>21561.674877345213</v>
      </c>
      <c r="BD7" s="8">
        <f>'Rent Roll'!BW44</f>
        <v>19105.512049749996</v>
      </c>
      <c r="BE7" s="8">
        <f>'Rent Roll'!BX44</f>
        <v>19105.512049749996</v>
      </c>
      <c r="BF7" s="8">
        <f>'Rent Roll'!BY44</f>
        <v>19105.512049749996</v>
      </c>
      <c r="BG7" s="8">
        <f>'Rent Roll'!BZ44</f>
        <v>19105.512049749996</v>
      </c>
      <c r="BH7" s="8">
        <f>'Rent Roll'!CA44</f>
        <v>19105.512049749996</v>
      </c>
      <c r="BI7" s="8">
        <f>'Rent Roll'!CB44</f>
        <v>19105.512049749996</v>
      </c>
      <c r="BJ7" s="8">
        <f>'Rent Roll'!CC44</f>
        <v>20124.097522799995</v>
      </c>
    </row>
    <row r="8" spans="1:62" x14ac:dyDescent="0.25">
      <c r="B8" s="7" t="s">
        <v>7</v>
      </c>
      <c r="C8" s="9">
        <f t="shared" ref="C8:AH8" si="3">Addl_Income</f>
        <v>1376.0833333333333</v>
      </c>
      <c r="D8" s="9">
        <f t="shared" si="3"/>
        <v>1376.0833333333333</v>
      </c>
      <c r="E8" s="9">
        <f t="shared" si="3"/>
        <v>1376.0833333333333</v>
      </c>
      <c r="F8" s="9">
        <f t="shared" si="3"/>
        <v>1376.0833333333333</v>
      </c>
      <c r="G8" s="9">
        <f t="shared" si="3"/>
        <v>1376.0833333333333</v>
      </c>
      <c r="H8" s="9">
        <f t="shared" si="3"/>
        <v>1376.0833333333333</v>
      </c>
      <c r="I8" s="9">
        <f t="shared" si="3"/>
        <v>1376.0833333333333</v>
      </c>
      <c r="J8" s="9">
        <f t="shared" si="3"/>
        <v>1376.0833333333333</v>
      </c>
      <c r="K8" s="9">
        <f t="shared" si="3"/>
        <v>1376.0833333333333</v>
      </c>
      <c r="L8" s="9">
        <f t="shared" si="3"/>
        <v>1376.0833333333333</v>
      </c>
      <c r="M8" s="9">
        <f t="shared" si="3"/>
        <v>1376.0833333333333</v>
      </c>
      <c r="N8" s="9">
        <f t="shared" si="3"/>
        <v>1376.0833333333333</v>
      </c>
      <c r="O8" s="9">
        <f t="shared" si="3"/>
        <v>1376.0833333333333</v>
      </c>
      <c r="P8" s="9">
        <f t="shared" si="3"/>
        <v>1376.0833333333333</v>
      </c>
      <c r="Q8" s="9">
        <f t="shared" si="3"/>
        <v>1376.0833333333333</v>
      </c>
      <c r="R8" s="9">
        <f t="shared" si="3"/>
        <v>1376.0833333333333</v>
      </c>
      <c r="S8" s="9">
        <f t="shared" si="3"/>
        <v>1376.0833333333333</v>
      </c>
      <c r="T8" s="9">
        <f t="shared" si="3"/>
        <v>1376.0833333333333</v>
      </c>
      <c r="U8" s="9">
        <f t="shared" si="3"/>
        <v>1376.0833333333333</v>
      </c>
      <c r="V8" s="9">
        <f t="shared" si="3"/>
        <v>1376.0833333333333</v>
      </c>
      <c r="W8" s="9">
        <f t="shared" si="3"/>
        <v>1376.0833333333333</v>
      </c>
      <c r="X8" s="9">
        <f t="shared" si="3"/>
        <v>1376.0833333333333</v>
      </c>
      <c r="Y8" s="9">
        <f t="shared" si="3"/>
        <v>1376.0833333333333</v>
      </c>
      <c r="Z8" s="9">
        <f t="shared" si="3"/>
        <v>1376.0833333333333</v>
      </c>
      <c r="AA8" s="9">
        <f t="shared" si="3"/>
        <v>1376.0833333333333</v>
      </c>
      <c r="AB8" s="9">
        <f t="shared" si="3"/>
        <v>1376.0833333333333</v>
      </c>
      <c r="AC8" s="9">
        <f t="shared" si="3"/>
        <v>1376.0833333333333</v>
      </c>
      <c r="AD8" s="9">
        <f t="shared" si="3"/>
        <v>1376.0833333333333</v>
      </c>
      <c r="AE8" s="9">
        <f t="shared" si="3"/>
        <v>1376.0833333333333</v>
      </c>
      <c r="AF8" s="9">
        <f t="shared" si="3"/>
        <v>1376.0833333333333</v>
      </c>
      <c r="AG8" s="9">
        <f t="shared" si="3"/>
        <v>1376.0833333333333</v>
      </c>
      <c r="AH8" s="9">
        <f t="shared" si="3"/>
        <v>1376.0833333333333</v>
      </c>
      <c r="AI8" s="9">
        <f t="shared" ref="AI8:BJ8" si="4">Addl_Income</f>
        <v>1376.0833333333333</v>
      </c>
      <c r="AJ8" s="9">
        <f t="shared" si="4"/>
        <v>1376.0833333333333</v>
      </c>
      <c r="AK8" s="9">
        <f t="shared" si="4"/>
        <v>1376.0833333333333</v>
      </c>
      <c r="AL8" s="9">
        <f t="shared" si="4"/>
        <v>1376.0833333333333</v>
      </c>
      <c r="AM8" s="9">
        <f t="shared" si="4"/>
        <v>1376.0833333333333</v>
      </c>
      <c r="AN8" s="9">
        <f t="shared" si="4"/>
        <v>1376.0833333333333</v>
      </c>
      <c r="AO8" s="9">
        <f t="shared" si="4"/>
        <v>1376.0833333333333</v>
      </c>
      <c r="AP8" s="9">
        <f t="shared" si="4"/>
        <v>1376.0833333333333</v>
      </c>
      <c r="AQ8" s="9">
        <f t="shared" si="4"/>
        <v>1376.0833333333333</v>
      </c>
      <c r="AR8" s="9">
        <f t="shared" si="4"/>
        <v>1376.0833333333333</v>
      </c>
      <c r="AS8" s="9">
        <f t="shared" si="4"/>
        <v>1376.0833333333333</v>
      </c>
      <c r="AT8" s="9">
        <f t="shared" si="4"/>
        <v>1376.0833333333333</v>
      </c>
      <c r="AU8" s="9">
        <f t="shared" si="4"/>
        <v>1376.0833333333333</v>
      </c>
      <c r="AV8" s="9">
        <f t="shared" si="4"/>
        <v>1376.0833333333333</v>
      </c>
      <c r="AW8" s="9">
        <f t="shared" si="4"/>
        <v>1376.0833333333333</v>
      </c>
      <c r="AX8" s="9">
        <f t="shared" si="4"/>
        <v>1376.0833333333333</v>
      </c>
      <c r="AY8" s="9">
        <f t="shared" si="4"/>
        <v>1376.0833333333333</v>
      </c>
      <c r="AZ8" s="9">
        <f t="shared" si="4"/>
        <v>1376.0833333333333</v>
      </c>
      <c r="BA8" s="9">
        <f t="shared" si="4"/>
        <v>1376.0833333333333</v>
      </c>
      <c r="BB8" s="9">
        <f t="shared" si="4"/>
        <v>1376.0833333333333</v>
      </c>
      <c r="BC8" s="9">
        <f t="shared" si="4"/>
        <v>1376.0833333333333</v>
      </c>
      <c r="BD8" s="9">
        <f t="shared" si="4"/>
        <v>1376.0833333333333</v>
      </c>
      <c r="BE8" s="9">
        <f t="shared" si="4"/>
        <v>1376.0833333333333</v>
      </c>
      <c r="BF8" s="9">
        <f t="shared" si="4"/>
        <v>1376.0833333333333</v>
      </c>
      <c r="BG8" s="9">
        <f t="shared" si="4"/>
        <v>1376.0833333333333</v>
      </c>
      <c r="BH8" s="9">
        <f t="shared" si="4"/>
        <v>1376.0833333333333</v>
      </c>
      <c r="BI8" s="9">
        <f t="shared" si="4"/>
        <v>1376.0833333333333</v>
      </c>
      <c r="BJ8" s="9">
        <f t="shared" si="4"/>
        <v>1376.0833333333333</v>
      </c>
    </row>
    <row r="9" spans="1:62" x14ac:dyDescent="0.25">
      <c r="B9" s="15" t="s">
        <v>8</v>
      </c>
      <c r="C9" s="220">
        <f>SUM(C7:C8)</f>
        <v>15487.583333333334</v>
      </c>
      <c r="D9" s="220">
        <f t="shared" ref="D9:BJ9" si="5">SUM(D7:D8)</f>
        <v>15487.583333333334</v>
      </c>
      <c r="E9" s="220">
        <f t="shared" si="5"/>
        <v>15487.583333333334</v>
      </c>
      <c r="F9" s="220">
        <f t="shared" si="5"/>
        <v>15487.583333333334</v>
      </c>
      <c r="G9" s="220">
        <f t="shared" si="5"/>
        <v>15487.583333333334</v>
      </c>
      <c r="H9" s="220">
        <f t="shared" si="5"/>
        <v>17747.583333333332</v>
      </c>
      <c r="I9" s="220">
        <f t="shared" si="5"/>
        <v>20390.083333333332</v>
      </c>
      <c r="J9" s="220">
        <f t="shared" si="5"/>
        <v>20390.083333333332</v>
      </c>
      <c r="K9" s="220">
        <f t="shared" si="5"/>
        <v>20390.083333333332</v>
      </c>
      <c r="L9" s="220">
        <f t="shared" si="5"/>
        <v>20390.083333333332</v>
      </c>
      <c r="M9" s="220">
        <f t="shared" si="5"/>
        <v>20390.083333333332</v>
      </c>
      <c r="N9" s="220">
        <f t="shared" si="5"/>
        <v>20390.083333333332</v>
      </c>
      <c r="O9" s="220">
        <f t="shared" si="5"/>
        <v>20880.612951587642</v>
      </c>
      <c r="P9" s="220">
        <f t="shared" si="5"/>
        <v>20880.612951587642</v>
      </c>
      <c r="Q9" s="220">
        <f t="shared" si="5"/>
        <v>20880.612951587642</v>
      </c>
      <c r="R9" s="220">
        <f t="shared" si="5"/>
        <v>20880.612951587642</v>
      </c>
      <c r="S9" s="220">
        <f t="shared" si="5"/>
        <v>20880.612951587642</v>
      </c>
      <c r="T9" s="220">
        <f t="shared" si="5"/>
        <v>20880.612951587642</v>
      </c>
      <c r="U9" s="220">
        <f t="shared" si="5"/>
        <v>20880.612951587642</v>
      </c>
      <c r="V9" s="220">
        <f t="shared" si="5"/>
        <v>20880.612951587642</v>
      </c>
      <c r="W9" s="220">
        <f t="shared" si="5"/>
        <v>20880.612951587642</v>
      </c>
      <c r="X9" s="220">
        <f t="shared" si="5"/>
        <v>20880.612951587642</v>
      </c>
      <c r="Y9" s="220">
        <f t="shared" si="5"/>
        <v>20880.612951587642</v>
      </c>
      <c r="Z9" s="220">
        <f t="shared" si="5"/>
        <v>20880.612951587642</v>
      </c>
      <c r="AA9" s="220">
        <f t="shared" si="5"/>
        <v>21384.285190872277</v>
      </c>
      <c r="AB9" s="220">
        <f t="shared" si="5"/>
        <v>21384.285190872277</v>
      </c>
      <c r="AC9" s="220">
        <f t="shared" si="5"/>
        <v>21384.285190872277</v>
      </c>
      <c r="AD9" s="220">
        <f t="shared" si="5"/>
        <v>21384.285190872277</v>
      </c>
      <c r="AE9" s="220">
        <f t="shared" si="5"/>
        <v>21384.285190872277</v>
      </c>
      <c r="AF9" s="220">
        <f t="shared" si="5"/>
        <v>21384.285190872277</v>
      </c>
      <c r="AG9" s="220">
        <f t="shared" si="5"/>
        <v>21280.154190872276</v>
      </c>
      <c r="AH9" s="220">
        <f t="shared" si="5"/>
        <v>21280.154190872276</v>
      </c>
      <c r="AI9" s="220">
        <f t="shared" si="5"/>
        <v>21280.154190872276</v>
      </c>
      <c r="AJ9" s="220">
        <f t="shared" si="5"/>
        <v>21280.154190872276</v>
      </c>
      <c r="AK9" s="220">
        <f t="shared" si="5"/>
        <v>21280.154190872276</v>
      </c>
      <c r="AL9" s="220">
        <f t="shared" si="5"/>
        <v>21115.893352115712</v>
      </c>
      <c r="AM9" s="220">
        <f t="shared" si="5"/>
        <v>22141.582032490765</v>
      </c>
      <c r="AN9" s="220">
        <f t="shared" si="5"/>
        <v>22141.582032490765</v>
      </c>
      <c r="AO9" s="220">
        <f t="shared" si="5"/>
        <v>22141.582032490765</v>
      </c>
      <c r="AP9" s="220">
        <f t="shared" si="5"/>
        <v>22141.582032490765</v>
      </c>
      <c r="AQ9" s="220">
        <f t="shared" si="5"/>
        <v>22141.582032490765</v>
      </c>
      <c r="AR9" s="220">
        <f t="shared" si="5"/>
        <v>21755.095850525755</v>
      </c>
      <c r="AS9" s="220">
        <f t="shared" si="5"/>
        <v>21755.095850525755</v>
      </c>
      <c r="AT9" s="220">
        <f t="shared" si="5"/>
        <v>21755.095850525755</v>
      </c>
      <c r="AU9" s="220">
        <f t="shared" si="5"/>
        <v>21755.095850525755</v>
      </c>
      <c r="AV9" s="220">
        <f t="shared" si="5"/>
        <v>21755.095850525755</v>
      </c>
      <c r="AW9" s="220">
        <f t="shared" si="5"/>
        <v>21755.095850525755</v>
      </c>
      <c r="AX9" s="220">
        <f t="shared" si="5"/>
        <v>22364.291153025759</v>
      </c>
      <c r="AY9" s="220">
        <f t="shared" si="5"/>
        <v>22937.758210678545</v>
      </c>
      <c r="AZ9" s="220">
        <f t="shared" si="5"/>
        <v>22937.758210678545</v>
      </c>
      <c r="BA9" s="220">
        <f t="shared" si="5"/>
        <v>22937.758210678545</v>
      </c>
      <c r="BB9" s="220">
        <f t="shared" si="5"/>
        <v>22937.758210678545</v>
      </c>
      <c r="BC9" s="220">
        <f t="shared" si="5"/>
        <v>22937.758210678545</v>
      </c>
      <c r="BD9" s="220">
        <f t="shared" si="5"/>
        <v>20481.595383083328</v>
      </c>
      <c r="BE9" s="220">
        <f t="shared" si="5"/>
        <v>20481.595383083328</v>
      </c>
      <c r="BF9" s="220">
        <f t="shared" si="5"/>
        <v>20481.595383083328</v>
      </c>
      <c r="BG9" s="220">
        <f t="shared" si="5"/>
        <v>20481.595383083328</v>
      </c>
      <c r="BH9" s="220">
        <f t="shared" si="5"/>
        <v>20481.595383083328</v>
      </c>
      <c r="BI9" s="220">
        <f t="shared" si="5"/>
        <v>20481.595383083328</v>
      </c>
      <c r="BJ9" s="220">
        <f t="shared" si="5"/>
        <v>21500.180856133327</v>
      </c>
    </row>
    <row r="10" spans="1:62" x14ac:dyDescent="0.25">
      <c r="B10" s="193" t="s">
        <v>9</v>
      </c>
      <c r="C10" s="192">
        <f t="shared" ref="C10:AH10" si="6">-Credit_Loss_Pct*C9</f>
        <v>-774.37916666666672</v>
      </c>
      <c r="D10" s="192">
        <f t="shared" si="6"/>
        <v>-774.37916666666672</v>
      </c>
      <c r="E10" s="192">
        <f t="shared" si="6"/>
        <v>-774.37916666666672</v>
      </c>
      <c r="F10" s="192">
        <f t="shared" si="6"/>
        <v>-774.37916666666672</v>
      </c>
      <c r="G10" s="192">
        <f t="shared" si="6"/>
        <v>-774.37916666666672</v>
      </c>
      <c r="H10" s="192">
        <f t="shared" si="6"/>
        <v>-887.37916666666661</v>
      </c>
      <c r="I10" s="192">
        <f t="shared" si="6"/>
        <v>-1019.5041666666666</v>
      </c>
      <c r="J10" s="192">
        <f t="shared" si="6"/>
        <v>-1019.5041666666666</v>
      </c>
      <c r="K10" s="192">
        <f t="shared" si="6"/>
        <v>-1019.5041666666666</v>
      </c>
      <c r="L10" s="192">
        <f t="shared" si="6"/>
        <v>-1019.5041666666666</v>
      </c>
      <c r="M10" s="192">
        <f t="shared" si="6"/>
        <v>-1019.5041666666666</v>
      </c>
      <c r="N10" s="192">
        <f t="shared" si="6"/>
        <v>-1019.5041666666666</v>
      </c>
      <c r="O10" s="192">
        <f t="shared" si="6"/>
        <v>-1044.030647579382</v>
      </c>
      <c r="P10" s="192">
        <f t="shared" si="6"/>
        <v>-1044.030647579382</v>
      </c>
      <c r="Q10" s="192">
        <f t="shared" si="6"/>
        <v>-1044.030647579382</v>
      </c>
      <c r="R10" s="192">
        <f t="shared" si="6"/>
        <v>-1044.030647579382</v>
      </c>
      <c r="S10" s="192">
        <f t="shared" si="6"/>
        <v>-1044.030647579382</v>
      </c>
      <c r="T10" s="192">
        <f t="shared" si="6"/>
        <v>-1044.030647579382</v>
      </c>
      <c r="U10" s="192">
        <f t="shared" si="6"/>
        <v>-1044.030647579382</v>
      </c>
      <c r="V10" s="192">
        <f t="shared" si="6"/>
        <v>-1044.030647579382</v>
      </c>
      <c r="W10" s="192">
        <f t="shared" si="6"/>
        <v>-1044.030647579382</v>
      </c>
      <c r="X10" s="192">
        <f t="shared" si="6"/>
        <v>-1044.030647579382</v>
      </c>
      <c r="Y10" s="192">
        <f t="shared" si="6"/>
        <v>-1044.030647579382</v>
      </c>
      <c r="Z10" s="192">
        <f t="shared" si="6"/>
        <v>-1044.030647579382</v>
      </c>
      <c r="AA10" s="192">
        <f t="shared" si="6"/>
        <v>-1069.2142595436139</v>
      </c>
      <c r="AB10" s="192">
        <f t="shared" si="6"/>
        <v>-1069.2142595436139</v>
      </c>
      <c r="AC10" s="192">
        <f t="shared" si="6"/>
        <v>-1069.2142595436139</v>
      </c>
      <c r="AD10" s="192">
        <f t="shared" si="6"/>
        <v>-1069.2142595436139</v>
      </c>
      <c r="AE10" s="192">
        <f t="shared" si="6"/>
        <v>-1069.2142595436139</v>
      </c>
      <c r="AF10" s="192">
        <f t="shared" si="6"/>
        <v>-1069.2142595436139</v>
      </c>
      <c r="AG10" s="192">
        <f t="shared" si="6"/>
        <v>-1064.0077095436138</v>
      </c>
      <c r="AH10" s="192">
        <f t="shared" si="6"/>
        <v>-1064.0077095436138</v>
      </c>
      <c r="AI10" s="192">
        <f t="shared" ref="AI10:BJ10" si="7">-Credit_Loss_Pct*AI9</f>
        <v>-1064.0077095436138</v>
      </c>
      <c r="AJ10" s="192">
        <f t="shared" si="7"/>
        <v>-1064.0077095436138</v>
      </c>
      <c r="AK10" s="192">
        <f t="shared" si="7"/>
        <v>-1064.0077095436138</v>
      </c>
      <c r="AL10" s="192">
        <f t="shared" si="7"/>
        <v>-1055.7946676057857</v>
      </c>
      <c r="AM10" s="192">
        <f t="shared" si="7"/>
        <v>-1107.0791016245382</v>
      </c>
      <c r="AN10" s="192">
        <f t="shared" si="7"/>
        <v>-1107.0791016245382</v>
      </c>
      <c r="AO10" s="192">
        <f t="shared" si="7"/>
        <v>-1107.0791016245382</v>
      </c>
      <c r="AP10" s="192">
        <f t="shared" si="7"/>
        <v>-1107.0791016245382</v>
      </c>
      <c r="AQ10" s="192">
        <f t="shared" si="7"/>
        <v>-1107.0791016245382</v>
      </c>
      <c r="AR10" s="192">
        <f t="shared" si="7"/>
        <v>-1087.7547925262877</v>
      </c>
      <c r="AS10" s="192">
        <f t="shared" si="7"/>
        <v>-1087.7547925262877</v>
      </c>
      <c r="AT10" s="192">
        <f t="shared" si="7"/>
        <v>-1087.7547925262877</v>
      </c>
      <c r="AU10" s="192">
        <f t="shared" si="7"/>
        <v>-1087.7547925262877</v>
      </c>
      <c r="AV10" s="192">
        <f t="shared" si="7"/>
        <v>-1087.7547925262877</v>
      </c>
      <c r="AW10" s="192">
        <f t="shared" si="7"/>
        <v>-1087.7547925262877</v>
      </c>
      <c r="AX10" s="192">
        <f t="shared" si="7"/>
        <v>-1118.214557651288</v>
      </c>
      <c r="AY10" s="192">
        <f t="shared" si="7"/>
        <v>-1146.8879105339272</v>
      </c>
      <c r="AZ10" s="192">
        <f t="shared" si="7"/>
        <v>-1146.8879105339272</v>
      </c>
      <c r="BA10" s="192">
        <f t="shared" si="7"/>
        <v>-1146.8879105339272</v>
      </c>
      <c r="BB10" s="192">
        <f t="shared" si="7"/>
        <v>-1146.8879105339272</v>
      </c>
      <c r="BC10" s="192">
        <f t="shared" si="7"/>
        <v>-1146.8879105339272</v>
      </c>
      <c r="BD10" s="192">
        <f t="shared" si="7"/>
        <v>-1024.0797691541663</v>
      </c>
      <c r="BE10" s="192">
        <f t="shared" si="7"/>
        <v>-1024.0797691541663</v>
      </c>
      <c r="BF10" s="192">
        <f t="shared" si="7"/>
        <v>-1024.0797691541663</v>
      </c>
      <c r="BG10" s="192">
        <f t="shared" si="7"/>
        <v>-1024.0797691541663</v>
      </c>
      <c r="BH10" s="192">
        <f t="shared" si="7"/>
        <v>-1024.0797691541663</v>
      </c>
      <c r="BI10" s="192">
        <f t="shared" si="7"/>
        <v>-1024.0797691541663</v>
      </c>
      <c r="BJ10" s="192">
        <f t="shared" si="7"/>
        <v>-1075.0090428066665</v>
      </c>
    </row>
    <row r="11" spans="1:62" x14ac:dyDescent="0.25">
      <c r="B11" s="190" t="s">
        <v>10</v>
      </c>
      <c r="C11" s="191">
        <f t="shared" ref="C11:AH11" si="8">C9+C10</f>
        <v>14713.204166666666</v>
      </c>
      <c r="D11" s="191">
        <f t="shared" si="8"/>
        <v>14713.204166666666</v>
      </c>
      <c r="E11" s="191">
        <f t="shared" si="8"/>
        <v>14713.204166666666</v>
      </c>
      <c r="F11" s="191">
        <f t="shared" si="8"/>
        <v>14713.204166666666</v>
      </c>
      <c r="G11" s="191">
        <f t="shared" si="8"/>
        <v>14713.204166666666</v>
      </c>
      <c r="H11" s="191">
        <f t="shared" si="8"/>
        <v>16860.204166666666</v>
      </c>
      <c r="I11" s="191">
        <f t="shared" si="8"/>
        <v>19370.579166666666</v>
      </c>
      <c r="J11" s="191">
        <f t="shared" si="8"/>
        <v>19370.579166666666</v>
      </c>
      <c r="K11" s="191">
        <f t="shared" si="8"/>
        <v>19370.579166666666</v>
      </c>
      <c r="L11" s="191">
        <f t="shared" si="8"/>
        <v>19370.579166666666</v>
      </c>
      <c r="M11" s="191">
        <f t="shared" si="8"/>
        <v>19370.579166666666</v>
      </c>
      <c r="N11" s="191">
        <f t="shared" si="8"/>
        <v>19370.579166666666</v>
      </c>
      <c r="O11" s="191">
        <f t="shared" si="8"/>
        <v>19836.582304008261</v>
      </c>
      <c r="P11" s="191">
        <f t="shared" si="8"/>
        <v>19836.582304008261</v>
      </c>
      <c r="Q11" s="191">
        <f t="shared" si="8"/>
        <v>19836.582304008261</v>
      </c>
      <c r="R11" s="191">
        <f t="shared" si="8"/>
        <v>19836.582304008261</v>
      </c>
      <c r="S11" s="191">
        <f t="shared" si="8"/>
        <v>19836.582304008261</v>
      </c>
      <c r="T11" s="191">
        <f t="shared" si="8"/>
        <v>19836.582304008261</v>
      </c>
      <c r="U11" s="191">
        <f t="shared" si="8"/>
        <v>19836.582304008261</v>
      </c>
      <c r="V11" s="191">
        <f t="shared" si="8"/>
        <v>19836.582304008261</v>
      </c>
      <c r="W11" s="191">
        <f t="shared" si="8"/>
        <v>19836.582304008261</v>
      </c>
      <c r="X11" s="191">
        <f t="shared" si="8"/>
        <v>19836.582304008261</v>
      </c>
      <c r="Y11" s="191">
        <f t="shared" si="8"/>
        <v>19836.582304008261</v>
      </c>
      <c r="Z11" s="191">
        <f t="shared" si="8"/>
        <v>19836.582304008261</v>
      </c>
      <c r="AA11" s="191">
        <f t="shared" si="8"/>
        <v>20315.070931328664</v>
      </c>
      <c r="AB11" s="191">
        <f t="shared" si="8"/>
        <v>20315.070931328664</v>
      </c>
      <c r="AC11" s="191">
        <f t="shared" si="8"/>
        <v>20315.070931328664</v>
      </c>
      <c r="AD11" s="191">
        <f t="shared" si="8"/>
        <v>20315.070931328664</v>
      </c>
      <c r="AE11" s="191">
        <f t="shared" si="8"/>
        <v>20315.070931328664</v>
      </c>
      <c r="AF11" s="191">
        <f t="shared" si="8"/>
        <v>20315.070931328664</v>
      </c>
      <c r="AG11" s="191">
        <f t="shared" si="8"/>
        <v>20216.146481328662</v>
      </c>
      <c r="AH11" s="191">
        <f t="shared" si="8"/>
        <v>20216.146481328662</v>
      </c>
      <c r="AI11" s="191">
        <f t="shared" ref="AI11:BJ11" si="9">AI9+AI10</f>
        <v>20216.146481328662</v>
      </c>
      <c r="AJ11" s="191">
        <f t="shared" si="9"/>
        <v>20216.146481328662</v>
      </c>
      <c r="AK11" s="191">
        <f t="shared" si="9"/>
        <v>20216.146481328662</v>
      </c>
      <c r="AL11" s="191">
        <f t="shared" si="9"/>
        <v>20060.098684509925</v>
      </c>
      <c r="AM11" s="191">
        <f t="shared" si="9"/>
        <v>21034.502930866227</v>
      </c>
      <c r="AN11" s="191">
        <f t="shared" si="9"/>
        <v>21034.502930866227</v>
      </c>
      <c r="AO11" s="191">
        <f t="shared" si="9"/>
        <v>21034.502930866227</v>
      </c>
      <c r="AP11" s="191">
        <f t="shared" si="9"/>
        <v>21034.502930866227</v>
      </c>
      <c r="AQ11" s="191">
        <f t="shared" si="9"/>
        <v>21034.502930866227</v>
      </c>
      <c r="AR11" s="191">
        <f t="shared" si="9"/>
        <v>20667.341057999467</v>
      </c>
      <c r="AS11" s="191">
        <f t="shared" si="9"/>
        <v>20667.341057999467</v>
      </c>
      <c r="AT11" s="191">
        <f t="shared" si="9"/>
        <v>20667.341057999467</v>
      </c>
      <c r="AU11" s="191">
        <f t="shared" si="9"/>
        <v>20667.341057999467</v>
      </c>
      <c r="AV11" s="191">
        <f t="shared" si="9"/>
        <v>20667.341057999467</v>
      </c>
      <c r="AW11" s="191">
        <f t="shared" si="9"/>
        <v>20667.341057999467</v>
      </c>
      <c r="AX11" s="191">
        <f t="shared" si="9"/>
        <v>21246.07659537447</v>
      </c>
      <c r="AY11" s="191">
        <f t="shared" si="9"/>
        <v>21790.870300144619</v>
      </c>
      <c r="AZ11" s="191">
        <f t="shared" si="9"/>
        <v>21790.870300144619</v>
      </c>
      <c r="BA11" s="191">
        <f t="shared" si="9"/>
        <v>21790.870300144619</v>
      </c>
      <c r="BB11" s="191">
        <f t="shared" si="9"/>
        <v>21790.870300144619</v>
      </c>
      <c r="BC11" s="191">
        <f t="shared" si="9"/>
        <v>21790.870300144619</v>
      </c>
      <c r="BD11" s="191">
        <f t="shared" si="9"/>
        <v>19457.515613929161</v>
      </c>
      <c r="BE11" s="191">
        <f t="shared" si="9"/>
        <v>19457.515613929161</v>
      </c>
      <c r="BF11" s="191">
        <f t="shared" si="9"/>
        <v>19457.515613929161</v>
      </c>
      <c r="BG11" s="191">
        <f t="shared" si="9"/>
        <v>19457.515613929161</v>
      </c>
      <c r="BH11" s="191">
        <f t="shared" si="9"/>
        <v>19457.515613929161</v>
      </c>
      <c r="BI11" s="191">
        <f t="shared" si="9"/>
        <v>19457.515613929161</v>
      </c>
      <c r="BJ11" s="191">
        <f t="shared" si="9"/>
        <v>20425.171813326662</v>
      </c>
    </row>
    <row r="13" spans="1:62" x14ac:dyDescent="0.25">
      <c r="B13" s="7" t="s">
        <v>6</v>
      </c>
      <c r="C13" s="9">
        <f>'Rent Roll'!V45</f>
        <v>10950.015801081283</v>
      </c>
      <c r="D13" s="9">
        <f>'Rent Roll'!W45</f>
        <v>10967.421926191644</v>
      </c>
      <c r="E13" s="9">
        <f>'Rent Roll'!X45</f>
        <v>10984.856798932775</v>
      </c>
      <c r="F13" s="9">
        <f>'Rent Roll'!Y45</f>
        <v>11002.320466783727</v>
      </c>
      <c r="G13" s="9">
        <f>'Rent Roll'!Z45</f>
        <v>11019.812977301965</v>
      </c>
      <c r="H13" s="9">
        <f>'Rent Roll'!AA45</f>
        <v>13106.10415200749</v>
      </c>
      <c r="I13" s="9">
        <f>'Rent Roll'!AB45</f>
        <v>16018.20038560662</v>
      </c>
      <c r="J13" s="9">
        <f>'Rent Roll'!AC45</f>
        <v>16043.376062399539</v>
      </c>
      <c r="K13" s="9">
        <f>'Rent Roll'!AD45</f>
        <v>16068.593318869511</v>
      </c>
      <c r="L13" s="9">
        <f>'Rent Roll'!AE45</f>
        <v>16093.852223688755</v>
      </c>
      <c r="M13" s="9">
        <f>'Rent Roll'!AF45</f>
        <v>16119.152845642904</v>
      </c>
      <c r="N13" s="9">
        <f>'Rent Roll'!AG45</f>
        <v>16144.495253631201</v>
      </c>
      <c r="O13" s="9">
        <f>'Rent Roll'!AH45</f>
        <v>16188.51964216034</v>
      </c>
      <c r="P13" s="9">
        <f>'Rent Roll'!AI45</f>
        <v>16213.945829370008</v>
      </c>
      <c r="Q13" s="9">
        <f>'Rent Roll'!AJ45</f>
        <v>16239.414009995051</v>
      </c>
      <c r="R13" s="9">
        <f>'Rent Roll'!AK45</f>
        <v>16264.924253391007</v>
      </c>
      <c r="S13" s="9">
        <f>'Rent Roll'!AL45</f>
        <v>16290.476629027964</v>
      </c>
      <c r="T13" s="9">
        <f>'Rent Roll'!AM45</f>
        <v>16316.071206490742</v>
      </c>
      <c r="U13" s="9">
        <f>'Rent Roll'!AN45</f>
        <v>16341.708055479088</v>
      </c>
      <c r="V13" s="9">
        <f>'Rent Roll'!AO45</f>
        <v>16367.387245807864</v>
      </c>
      <c r="W13" s="9">
        <f>'Rent Roll'!AP45</f>
        <v>16393.108847407238</v>
      </c>
      <c r="X13" s="9">
        <f>'Rent Roll'!AQ45</f>
        <v>16418.872930322865</v>
      </c>
      <c r="Y13" s="9">
        <f>'Rent Roll'!AR45</f>
        <v>16444.679564716098</v>
      </c>
      <c r="Z13" s="9">
        <f>'Rent Roll'!AS45</f>
        <v>16470.528820864161</v>
      </c>
      <c r="AA13" s="9">
        <f>'Rent Roll'!AT45</f>
        <v>16515.560314253162</v>
      </c>
      <c r="AB13" s="9">
        <f>'Rent Roll'!AU45</f>
        <v>16541.495025207023</v>
      </c>
      <c r="AC13" s="9">
        <f>'Rent Roll'!AV45</f>
        <v>16567.472569444566</v>
      </c>
      <c r="AD13" s="9">
        <f>'Rent Roll'!AW45</f>
        <v>16593.493017708442</v>
      </c>
      <c r="AE13" s="9">
        <f>'Rent Roll'!AX45</f>
        <v>16619.556440858141</v>
      </c>
      <c r="AF13" s="9">
        <f>'Rent Roll'!AY45</f>
        <v>16645.662909870174</v>
      </c>
      <c r="AG13" s="9">
        <f>'Rent Roll'!AZ45</f>
        <v>16229.718376150146</v>
      </c>
      <c r="AH13" s="9">
        <f>'Rent Roll'!BA45</f>
        <v>16255.222637766283</v>
      </c>
      <c r="AI13" s="9">
        <f>'Rent Roll'!BB45</f>
        <v>16280.769021744019</v>
      </c>
      <c r="AJ13" s="9">
        <f>'Rent Roll'!BC45</f>
        <v>16306.35759765187</v>
      </c>
      <c r="AK13" s="9">
        <f>'Rent Roll'!BD45</f>
        <v>16331.988435173227</v>
      </c>
      <c r="AL13" s="9">
        <f>'Rent Roll'!BE45</f>
        <v>16161.394469318959</v>
      </c>
      <c r="AM13" s="9">
        <f>'Rent Roll'!BF45</f>
        <v>16667.466914881254</v>
      </c>
      <c r="AN13" s="9">
        <f>'Rent Roll'!BG45</f>
        <v>16693.620721925137</v>
      </c>
      <c r="AO13" s="9">
        <f>'Rent Roll'!BH45</f>
        <v>16719.81772410771</v>
      </c>
      <c r="AP13" s="9">
        <f>'Rent Roll'!BI45</f>
        <v>16746.057992769252</v>
      </c>
      <c r="AQ13" s="9">
        <f>'Rent Roll'!BJ45</f>
        <v>16772.341599367872</v>
      </c>
      <c r="AR13" s="9">
        <f>'Rent Roll'!BK45</f>
        <v>16447.088780154067</v>
      </c>
      <c r="AS13" s="9">
        <f>'Rent Roll'!BL45</f>
        <v>16472.929704482438</v>
      </c>
      <c r="AT13" s="9">
        <f>'Rent Roll'!BM45</f>
        <v>16498.813307198256</v>
      </c>
      <c r="AU13" s="9">
        <f>'Rent Roll'!BN45</f>
        <v>16524.739658788345</v>
      </c>
      <c r="AV13" s="9">
        <f>'Rent Roll'!BO45</f>
        <v>16550.70882985595</v>
      </c>
      <c r="AW13" s="9">
        <f>'Rent Roll'!BP45</f>
        <v>16576.720891120916</v>
      </c>
      <c r="AX13" s="9">
        <f>'Rent Roll'!BQ45</f>
        <v>17160.262039878467</v>
      </c>
      <c r="AY13" s="9">
        <f>'Rent Roll'!BR45</f>
        <v>17208.991771076624</v>
      </c>
      <c r="AZ13" s="9">
        <f>'Rent Roll'!BS45</f>
        <v>17235.974244353023</v>
      </c>
      <c r="BA13" s="9">
        <f>'Rent Roll'!BT45</f>
        <v>17263.001281377761</v>
      </c>
      <c r="BB13" s="9">
        <f>'Rent Roll'!BU45</f>
        <v>17290.072955751497</v>
      </c>
      <c r="BC13" s="9">
        <f>'Rent Roll'!BV45</f>
        <v>17317.189341196441</v>
      </c>
      <c r="BD13" s="9">
        <f>'Rent Roll'!BW45</f>
        <v>16377.85246653984</v>
      </c>
      <c r="BE13" s="9">
        <f>'Rent Roll'!BX45</f>
        <v>16403.681456828977</v>
      </c>
      <c r="BF13" s="9">
        <f>'Rent Roll'!BY45</f>
        <v>16429.553105795523</v>
      </c>
      <c r="BG13" s="9">
        <f>'Rent Roll'!BZ45</f>
        <v>16455.467483893757</v>
      </c>
      <c r="BH13" s="9">
        <f>'Rent Roll'!CA45</f>
        <v>16481.424661694302</v>
      </c>
      <c r="BI13" s="9">
        <f>'Rent Roll'!CB45</f>
        <v>16507.424709884359</v>
      </c>
      <c r="BJ13" s="9">
        <f>'Rent Roll'!CC45</f>
        <v>17453.634228117829</v>
      </c>
    </row>
    <row r="14" spans="1:62" x14ac:dyDescent="0.25">
      <c r="B14" s="3"/>
      <c r="C14" s="221"/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  <c r="AM14" s="221"/>
      <c r="AN14" s="221"/>
      <c r="AO14" s="221"/>
      <c r="AP14" s="221"/>
      <c r="AQ14" s="221"/>
      <c r="AR14" s="221"/>
      <c r="AS14" s="221"/>
      <c r="AT14" s="221"/>
      <c r="AU14" s="221"/>
      <c r="AV14" s="221"/>
      <c r="AW14" s="221"/>
      <c r="AX14" s="221"/>
      <c r="AY14" s="221"/>
      <c r="AZ14" s="221"/>
      <c r="BA14" s="221"/>
      <c r="BB14" s="221"/>
      <c r="BC14" s="221"/>
      <c r="BD14" s="221"/>
      <c r="BE14" s="221"/>
      <c r="BF14" s="221"/>
      <c r="BG14" s="221"/>
      <c r="BH14" s="221"/>
      <c r="BI14" s="221"/>
      <c r="BJ14" s="221"/>
    </row>
    <row r="15" spans="1:62" s="223" customFormat="1" x14ac:dyDescent="0.25">
      <c r="B15" s="222" t="s">
        <v>286</v>
      </c>
      <c r="C15" s="224">
        <f>C13 + C11</f>
        <v>25663.219967747951</v>
      </c>
      <c r="D15" s="224">
        <f t="shared" ref="D15:BJ15" si="10">D13 + D11</f>
        <v>25680.626092858311</v>
      </c>
      <c r="E15" s="224">
        <f t="shared" si="10"/>
        <v>25698.060965599441</v>
      </c>
      <c r="F15" s="224">
        <f t="shared" si="10"/>
        <v>25715.524633450394</v>
      </c>
      <c r="G15" s="224">
        <f t="shared" si="10"/>
        <v>25733.017143968631</v>
      </c>
      <c r="H15" s="224">
        <f t="shared" si="10"/>
        <v>29966.308318674157</v>
      </c>
      <c r="I15" s="224">
        <f t="shared" si="10"/>
        <v>35388.779552273285</v>
      </c>
      <c r="J15" s="224">
        <f t="shared" si="10"/>
        <v>35413.955229066203</v>
      </c>
      <c r="K15" s="224">
        <f t="shared" si="10"/>
        <v>35439.172485536175</v>
      </c>
      <c r="L15" s="224">
        <f t="shared" si="10"/>
        <v>35464.431390355421</v>
      </c>
      <c r="M15" s="224">
        <f t="shared" si="10"/>
        <v>35489.732012309571</v>
      </c>
      <c r="N15" s="224">
        <f t="shared" si="10"/>
        <v>35515.074420297868</v>
      </c>
      <c r="O15" s="224">
        <f t="shared" si="10"/>
        <v>36025.101946168601</v>
      </c>
      <c r="P15" s="224">
        <f t="shared" si="10"/>
        <v>36050.52813337827</v>
      </c>
      <c r="Q15" s="224">
        <f t="shared" si="10"/>
        <v>36075.996314003314</v>
      </c>
      <c r="R15" s="224">
        <f t="shared" si="10"/>
        <v>36101.506557399269</v>
      </c>
      <c r="S15" s="224">
        <f t="shared" si="10"/>
        <v>36127.058933036227</v>
      </c>
      <c r="T15" s="224">
        <f t="shared" si="10"/>
        <v>36152.653510499003</v>
      </c>
      <c r="U15" s="224">
        <f t="shared" si="10"/>
        <v>36178.29035948735</v>
      </c>
      <c r="V15" s="224">
        <f t="shared" si="10"/>
        <v>36203.969549816124</v>
      </c>
      <c r="W15" s="224">
        <f t="shared" si="10"/>
        <v>36229.6911514155</v>
      </c>
      <c r="X15" s="224">
        <f t="shared" si="10"/>
        <v>36255.455234331122</v>
      </c>
      <c r="Y15" s="224">
        <f t="shared" si="10"/>
        <v>36281.261868724359</v>
      </c>
      <c r="Z15" s="224">
        <f t="shared" si="10"/>
        <v>36307.111124872419</v>
      </c>
      <c r="AA15" s="224">
        <f t="shared" si="10"/>
        <v>36830.631245581826</v>
      </c>
      <c r="AB15" s="224">
        <f t="shared" si="10"/>
        <v>36856.565956535691</v>
      </c>
      <c r="AC15" s="224">
        <f t="shared" si="10"/>
        <v>36882.54350077323</v>
      </c>
      <c r="AD15" s="224">
        <f t="shared" si="10"/>
        <v>36908.56394903711</v>
      </c>
      <c r="AE15" s="224">
        <f t="shared" si="10"/>
        <v>36934.627372186806</v>
      </c>
      <c r="AF15" s="224">
        <f t="shared" si="10"/>
        <v>36960.733841198838</v>
      </c>
      <c r="AG15" s="224">
        <f t="shared" si="10"/>
        <v>36445.864857478809</v>
      </c>
      <c r="AH15" s="224">
        <f t="shared" si="10"/>
        <v>36471.369119094947</v>
      </c>
      <c r="AI15" s="224">
        <f t="shared" si="10"/>
        <v>36496.915503072683</v>
      </c>
      <c r="AJ15" s="224">
        <f t="shared" si="10"/>
        <v>36522.504078980535</v>
      </c>
      <c r="AK15" s="224">
        <f t="shared" si="10"/>
        <v>36548.134916501891</v>
      </c>
      <c r="AL15" s="224">
        <f t="shared" si="10"/>
        <v>36221.49315382888</v>
      </c>
      <c r="AM15" s="224">
        <f t="shared" si="10"/>
        <v>37701.969845747481</v>
      </c>
      <c r="AN15" s="224">
        <f t="shared" si="10"/>
        <v>37728.123652791364</v>
      </c>
      <c r="AO15" s="224">
        <f t="shared" si="10"/>
        <v>37754.320654973941</v>
      </c>
      <c r="AP15" s="224">
        <f t="shared" si="10"/>
        <v>37780.560923635479</v>
      </c>
      <c r="AQ15" s="224">
        <f t="shared" si="10"/>
        <v>37806.844530234099</v>
      </c>
      <c r="AR15" s="224">
        <f t="shared" si="10"/>
        <v>37114.429838153534</v>
      </c>
      <c r="AS15" s="224">
        <f t="shared" si="10"/>
        <v>37140.270762481901</v>
      </c>
      <c r="AT15" s="224">
        <f t="shared" si="10"/>
        <v>37166.154365197726</v>
      </c>
      <c r="AU15" s="224">
        <f t="shared" si="10"/>
        <v>37192.080716787808</v>
      </c>
      <c r="AV15" s="224">
        <f t="shared" si="10"/>
        <v>37218.049887855421</v>
      </c>
      <c r="AW15" s="224">
        <f t="shared" si="10"/>
        <v>37244.061949120383</v>
      </c>
      <c r="AX15" s="224">
        <f t="shared" si="10"/>
        <v>38406.338635252934</v>
      </c>
      <c r="AY15" s="224">
        <f t="shared" si="10"/>
        <v>38999.862071221243</v>
      </c>
      <c r="AZ15" s="224">
        <f t="shared" si="10"/>
        <v>39026.844544497639</v>
      </c>
      <c r="BA15" s="224">
        <f t="shared" si="10"/>
        <v>39053.871581522384</v>
      </c>
      <c r="BB15" s="224">
        <f t="shared" si="10"/>
        <v>39080.943255896113</v>
      </c>
      <c r="BC15" s="224">
        <f t="shared" si="10"/>
        <v>39108.05964134106</v>
      </c>
      <c r="BD15" s="224">
        <f t="shared" si="10"/>
        <v>35835.368080469001</v>
      </c>
      <c r="BE15" s="224">
        <f t="shared" si="10"/>
        <v>35861.197070758135</v>
      </c>
      <c r="BF15" s="224">
        <f t="shared" si="10"/>
        <v>35887.068719724688</v>
      </c>
      <c r="BG15" s="224">
        <f t="shared" si="10"/>
        <v>35912.983097822915</v>
      </c>
      <c r="BH15" s="224">
        <f t="shared" si="10"/>
        <v>35938.940275623463</v>
      </c>
      <c r="BI15" s="224">
        <f t="shared" si="10"/>
        <v>35964.94032381352</v>
      </c>
      <c r="BJ15" s="224">
        <f t="shared" si="10"/>
        <v>37878.806041444492</v>
      </c>
    </row>
    <row r="17" spans="2:63" x14ac:dyDescent="0.25">
      <c r="B17" s="6" t="s">
        <v>11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</row>
    <row r="18" spans="2:63" x14ac:dyDescent="0.25">
      <c r="B18" s="7" t="s">
        <v>12</v>
      </c>
      <c r="C18" s="226">
        <f>Monthly_OpEx</f>
        <v>15093.192500000001</v>
      </c>
      <c r="D18" s="8">
        <f>C18*(1 + Overview!$C$25)^(1/12)</f>
        <v>15118.120134519284</v>
      </c>
      <c r="E18" s="8">
        <f>D18*(1 + Overview!$C$25)^(1/12)</f>
        <v>15143.088939053639</v>
      </c>
      <c r="F18" s="8">
        <f>E18*(1 + Overview!$C$25)^(1/12)</f>
        <v>15168.098981598696</v>
      </c>
      <c r="G18" s="8">
        <f>F18*(1 + Overview!$C$25)^(1/12)</f>
        <v>15193.150330262379</v>
      </c>
      <c r="H18" s="8">
        <f>G18*(1 + Overview!$C$25)^(1/12)</f>
        <v>15218.243053265103</v>
      </c>
      <c r="I18" s="8">
        <f>H18*(1 + Overview!$C$25)^(1/12)</f>
        <v>15243.377218939953</v>
      </c>
      <c r="J18" s="8">
        <f>I18*(1 + Overview!$C$25)^(1/12)</f>
        <v>15268.552895732872</v>
      </c>
      <c r="K18" s="8">
        <f>J18*(1 + Overview!$C$25)^(1/12)</f>
        <v>15293.770152202844</v>
      </c>
      <c r="L18" s="8">
        <f>K18*(1 + Overview!$C$25)^(1/12)</f>
        <v>15319.029057022088</v>
      </c>
      <c r="M18" s="8">
        <f>L18*(1 + Overview!$C$25)^(1/12)</f>
        <v>15344.329678976237</v>
      </c>
      <c r="N18" s="8">
        <f>M18*(1 + Overview!$C$25)^(1/12)</f>
        <v>15369.672086964534</v>
      </c>
      <c r="O18" s="8">
        <f>N18*(1 + Overview!$C$25)^(1/12)</f>
        <v>15395.05635000001</v>
      </c>
      <c r="P18" s="8">
        <f>O18*(1 + Overview!$C$25)^(1/12)</f>
        <v>15420.482537209678</v>
      </c>
      <c r="Q18" s="8">
        <f>P18*(1 + Overview!$C$25)^(1/12)</f>
        <v>15445.950717834721</v>
      </c>
      <c r="R18" s="8">
        <f>Q18*(1 + Overview!$C$25)^(1/12)</f>
        <v>15471.460961230678</v>
      </c>
      <c r="S18" s="8">
        <f>R18*(1 + Overview!$C$25)^(1/12)</f>
        <v>15497.013336867634</v>
      </c>
      <c r="T18" s="8">
        <f>S18*(1 + Overview!$C$25)^(1/12)</f>
        <v>15522.607914330412</v>
      </c>
      <c r="U18" s="8">
        <f>T18*(1 + Overview!$C$25)^(1/12)</f>
        <v>15548.244763318758</v>
      </c>
      <c r="V18" s="8">
        <f>U18*(1 + Overview!$C$25)^(1/12)</f>
        <v>15573.923953647534</v>
      </c>
      <c r="W18" s="8">
        <f>V18*(1 + Overview!$C$25)^(1/12)</f>
        <v>15599.645555246907</v>
      </c>
      <c r="X18" s="8">
        <f>W18*(1 + Overview!$C$25)^(1/12)</f>
        <v>15625.409638162535</v>
      </c>
      <c r="Y18" s="8">
        <f>X18*(1 + Overview!$C$25)^(1/12)</f>
        <v>15651.216272555768</v>
      </c>
      <c r="Z18" s="8">
        <f>Y18*(1 + Overview!$C$25)^(1/12)</f>
        <v>15677.065528703832</v>
      </c>
      <c r="AA18" s="8">
        <f>Z18*(1 + Overview!$C$25)^(1/12)</f>
        <v>15702.957477000016</v>
      </c>
      <c r="AB18" s="8">
        <f>AA18*(1 + Overview!$C$25)^(1/12)</f>
        <v>15728.892187953878</v>
      </c>
      <c r="AC18" s="8">
        <f>AB18*(1 + Overview!$C$25)^(1/12)</f>
        <v>15754.869732191421</v>
      </c>
      <c r="AD18" s="8">
        <f>AC18*(1 + Overview!$C$25)^(1/12)</f>
        <v>15780.890180455297</v>
      </c>
      <c r="AE18" s="8">
        <f>AD18*(1 + Overview!$C$25)^(1/12)</f>
        <v>15806.953603604994</v>
      </c>
      <c r="AF18" s="8">
        <f>AE18*(1 + Overview!$C$25)^(1/12)</f>
        <v>15833.060072617029</v>
      </c>
      <c r="AG18" s="8">
        <f>AF18*(1 + Overview!$C$25)^(1/12)</f>
        <v>15859.209658585143</v>
      </c>
      <c r="AH18" s="8">
        <f>AG18*(1 + Overview!$C$25)^(1/12)</f>
        <v>15885.402432720495</v>
      </c>
      <c r="AI18" s="8">
        <f>AH18*(1 + Overview!$C$25)^(1/12)</f>
        <v>15911.638466351855</v>
      </c>
      <c r="AJ18" s="8">
        <f>AI18*(1 + Overview!$C$25)^(1/12)</f>
        <v>15937.917830925797</v>
      </c>
      <c r="AK18" s="8">
        <f>AJ18*(1 + Overview!$C$25)^(1/12)</f>
        <v>15964.240598006894</v>
      </c>
      <c r="AL18" s="8">
        <f>AK18*(1 + Overview!$C$25)^(1/12)</f>
        <v>15990.606839277918</v>
      </c>
      <c r="AM18" s="8">
        <f>AL18*(1 + Overview!$C$25)^(1/12)</f>
        <v>16017.016626540028</v>
      </c>
      <c r="AN18" s="8">
        <f>AM18*(1 + Overview!$C$25)^(1/12)</f>
        <v>16043.470031712966</v>
      </c>
      <c r="AO18" s="8">
        <f>AN18*(1 + Overview!$C$25)^(1/12)</f>
        <v>16069.967126835261</v>
      </c>
      <c r="AP18" s="8">
        <f>AO18*(1 + Overview!$C$25)^(1/12)</f>
        <v>16096.507984064416</v>
      </c>
      <c r="AQ18" s="8">
        <f>AP18*(1 + Overview!$C$25)^(1/12)</f>
        <v>16123.092675677106</v>
      </c>
      <c r="AR18" s="8">
        <f>AQ18*(1 + Overview!$C$25)^(1/12)</f>
        <v>16149.721274069381</v>
      </c>
      <c r="AS18" s="8">
        <f>AR18*(1 + Overview!$C$25)^(1/12)</f>
        <v>16176.393851756857</v>
      </c>
      <c r="AT18" s="8">
        <f>AS18*(1 + Overview!$C$25)^(1/12)</f>
        <v>16203.110481374915</v>
      </c>
      <c r="AU18" s="8">
        <f>AT18*(1 + Overview!$C$25)^(1/12)</f>
        <v>16229.871235678902</v>
      </c>
      <c r="AV18" s="8">
        <f>AU18*(1 + Overview!$C$25)^(1/12)</f>
        <v>16256.676187544323</v>
      </c>
      <c r="AW18" s="8">
        <f>AV18*(1 + Overview!$C$25)^(1/12)</f>
        <v>16283.525409967042</v>
      </c>
      <c r="AX18" s="8">
        <f>AW18*(1 + Overview!$C$25)^(1/12)</f>
        <v>16310.418976063487</v>
      </c>
      <c r="AY18" s="8">
        <f>AX18*(1 + Overview!$C$25)^(1/12)</f>
        <v>16337.356959070839</v>
      </c>
      <c r="AZ18" s="8">
        <f>AY18*(1 + Overview!$C$25)^(1/12)</f>
        <v>16364.339432347237</v>
      </c>
      <c r="BA18" s="8">
        <f>AZ18*(1 + Overview!$C$25)^(1/12)</f>
        <v>16391.366469371977</v>
      </c>
      <c r="BB18" s="8">
        <f>BA18*(1 + Overview!$C$25)^(1/12)</f>
        <v>16418.438143745712</v>
      </c>
      <c r="BC18" s="8">
        <f>BB18*(1 + Overview!$C$25)^(1/12)</f>
        <v>16445.554529190656</v>
      </c>
      <c r="BD18" s="8">
        <f>BC18*(1 + Overview!$C$25)^(1/12)</f>
        <v>16472.715699550776</v>
      </c>
      <c r="BE18" s="8">
        <f>BD18*(1 + Overview!$C$25)^(1/12)</f>
        <v>16499.921728792</v>
      </c>
      <c r="BF18" s="8">
        <f>BE18*(1 + Overview!$C$25)^(1/12)</f>
        <v>16527.172691002419</v>
      </c>
      <c r="BG18" s="8">
        <f>BF18*(1 + Overview!$C$25)^(1/12)</f>
        <v>16554.468660392486</v>
      </c>
      <c r="BH18" s="8">
        <f>BG18*(1 + Overview!$C$25)^(1/12)</f>
        <v>16581.809711295213</v>
      </c>
      <c r="BI18" s="8">
        <f>BH18*(1 + Overview!$C$25)^(1/12)</f>
        <v>16609.195918166388</v>
      </c>
      <c r="BJ18" s="8">
        <f>BI18*(1 + Overview!$C$25)^(1/12)</f>
        <v>16636.627355584762</v>
      </c>
    </row>
    <row r="19" spans="2:63" x14ac:dyDescent="0.25">
      <c r="B19" s="7" t="s">
        <v>296</v>
      </c>
      <c r="C19" s="9">
        <f t="shared" ref="C19:AH19" si="11">Mgmt_Fee_Pct*C11</f>
        <v>588.52816666666672</v>
      </c>
      <c r="D19" s="9">
        <f t="shared" si="11"/>
        <v>588.52816666666672</v>
      </c>
      <c r="E19" s="9">
        <f t="shared" si="11"/>
        <v>588.52816666666672</v>
      </c>
      <c r="F19" s="9">
        <f t="shared" si="11"/>
        <v>588.52816666666672</v>
      </c>
      <c r="G19" s="9">
        <f t="shared" si="11"/>
        <v>588.52816666666672</v>
      </c>
      <c r="H19" s="9">
        <f t="shared" si="11"/>
        <v>674.40816666666672</v>
      </c>
      <c r="I19" s="9">
        <f t="shared" si="11"/>
        <v>774.82316666666668</v>
      </c>
      <c r="J19" s="9">
        <f t="shared" si="11"/>
        <v>774.82316666666668</v>
      </c>
      <c r="K19" s="9">
        <f t="shared" si="11"/>
        <v>774.82316666666668</v>
      </c>
      <c r="L19" s="9">
        <f t="shared" si="11"/>
        <v>774.82316666666668</v>
      </c>
      <c r="M19" s="9">
        <f t="shared" si="11"/>
        <v>774.82316666666668</v>
      </c>
      <c r="N19" s="9">
        <f t="shared" si="11"/>
        <v>774.82316666666668</v>
      </c>
      <c r="O19" s="9">
        <f t="shared" si="11"/>
        <v>793.46329216033052</v>
      </c>
      <c r="P19" s="9">
        <f t="shared" si="11"/>
        <v>793.46329216033052</v>
      </c>
      <c r="Q19" s="9">
        <f t="shared" si="11"/>
        <v>793.46329216033052</v>
      </c>
      <c r="R19" s="9">
        <f t="shared" si="11"/>
        <v>793.46329216033052</v>
      </c>
      <c r="S19" s="9">
        <f t="shared" si="11"/>
        <v>793.46329216033052</v>
      </c>
      <c r="T19" s="9">
        <f t="shared" si="11"/>
        <v>793.46329216033052</v>
      </c>
      <c r="U19" s="9">
        <f t="shared" si="11"/>
        <v>793.46329216033052</v>
      </c>
      <c r="V19" s="9">
        <f t="shared" si="11"/>
        <v>793.46329216033052</v>
      </c>
      <c r="W19" s="9">
        <f t="shared" si="11"/>
        <v>793.46329216033052</v>
      </c>
      <c r="X19" s="9">
        <f t="shared" si="11"/>
        <v>793.46329216033052</v>
      </c>
      <c r="Y19" s="9">
        <f t="shared" si="11"/>
        <v>793.46329216033052</v>
      </c>
      <c r="Z19" s="9">
        <f t="shared" si="11"/>
        <v>793.46329216033052</v>
      </c>
      <c r="AA19" s="9">
        <f t="shared" si="11"/>
        <v>812.60283725314662</v>
      </c>
      <c r="AB19" s="9">
        <f t="shared" si="11"/>
        <v>812.60283725314662</v>
      </c>
      <c r="AC19" s="9">
        <f t="shared" si="11"/>
        <v>812.60283725314662</v>
      </c>
      <c r="AD19" s="9">
        <f t="shared" si="11"/>
        <v>812.60283725314662</v>
      </c>
      <c r="AE19" s="9">
        <f t="shared" si="11"/>
        <v>812.60283725314662</v>
      </c>
      <c r="AF19" s="9">
        <f t="shared" si="11"/>
        <v>812.60283725314662</v>
      </c>
      <c r="AG19" s="9">
        <f t="shared" si="11"/>
        <v>808.64585925314645</v>
      </c>
      <c r="AH19" s="9">
        <f t="shared" si="11"/>
        <v>808.64585925314645</v>
      </c>
      <c r="AI19" s="9">
        <f t="shared" ref="AI19:BJ19" si="12">Mgmt_Fee_Pct*AI11</f>
        <v>808.64585925314645</v>
      </c>
      <c r="AJ19" s="9">
        <f t="shared" si="12"/>
        <v>808.64585925314645</v>
      </c>
      <c r="AK19" s="9">
        <f t="shared" si="12"/>
        <v>808.64585925314645</v>
      </c>
      <c r="AL19" s="9">
        <f t="shared" si="12"/>
        <v>802.40394738039697</v>
      </c>
      <c r="AM19" s="9">
        <f t="shared" si="12"/>
        <v>841.38011723464911</v>
      </c>
      <c r="AN19" s="9">
        <f t="shared" si="12"/>
        <v>841.38011723464911</v>
      </c>
      <c r="AO19" s="9">
        <f t="shared" si="12"/>
        <v>841.38011723464911</v>
      </c>
      <c r="AP19" s="9">
        <f t="shared" si="12"/>
        <v>841.38011723464911</v>
      </c>
      <c r="AQ19" s="9">
        <f t="shared" si="12"/>
        <v>841.38011723464911</v>
      </c>
      <c r="AR19" s="9">
        <f t="shared" si="12"/>
        <v>826.69364231997872</v>
      </c>
      <c r="AS19" s="9">
        <f t="shared" si="12"/>
        <v>826.69364231997872</v>
      </c>
      <c r="AT19" s="9">
        <f t="shared" si="12"/>
        <v>826.69364231997872</v>
      </c>
      <c r="AU19" s="9">
        <f t="shared" si="12"/>
        <v>826.69364231997872</v>
      </c>
      <c r="AV19" s="9">
        <f t="shared" si="12"/>
        <v>826.69364231997872</v>
      </c>
      <c r="AW19" s="9">
        <f t="shared" si="12"/>
        <v>826.69364231997872</v>
      </c>
      <c r="AX19" s="9">
        <f t="shared" si="12"/>
        <v>849.84306381497879</v>
      </c>
      <c r="AY19" s="9">
        <f t="shared" si="12"/>
        <v>871.63481200578474</v>
      </c>
      <c r="AZ19" s="9">
        <f t="shared" si="12"/>
        <v>871.63481200578474</v>
      </c>
      <c r="BA19" s="9">
        <f t="shared" si="12"/>
        <v>871.63481200578474</v>
      </c>
      <c r="BB19" s="9">
        <f t="shared" si="12"/>
        <v>871.63481200578474</v>
      </c>
      <c r="BC19" s="9">
        <f t="shared" si="12"/>
        <v>871.63481200578474</v>
      </c>
      <c r="BD19" s="9">
        <f t="shared" si="12"/>
        <v>778.30062455716643</v>
      </c>
      <c r="BE19" s="9">
        <f t="shared" si="12"/>
        <v>778.30062455716643</v>
      </c>
      <c r="BF19" s="9">
        <f t="shared" si="12"/>
        <v>778.30062455716643</v>
      </c>
      <c r="BG19" s="9">
        <f t="shared" si="12"/>
        <v>778.30062455716643</v>
      </c>
      <c r="BH19" s="9">
        <f t="shared" si="12"/>
        <v>778.30062455716643</v>
      </c>
      <c r="BI19" s="9">
        <f t="shared" si="12"/>
        <v>778.30062455716643</v>
      </c>
      <c r="BJ19" s="9">
        <f t="shared" si="12"/>
        <v>817.00687253306648</v>
      </c>
    </row>
    <row r="20" spans="2:63" x14ac:dyDescent="0.25">
      <c r="B20" s="10" t="s">
        <v>14</v>
      </c>
      <c r="C20" s="11">
        <f t="shared" ref="C20:AH20" si="13">C18+C19</f>
        <v>15681.720666666668</v>
      </c>
      <c r="D20" s="11">
        <f t="shared" si="13"/>
        <v>15706.648301185951</v>
      </c>
      <c r="E20" s="11">
        <f t="shared" si="13"/>
        <v>15731.617105720306</v>
      </c>
      <c r="F20" s="11">
        <f t="shared" si="13"/>
        <v>15756.627148265363</v>
      </c>
      <c r="G20" s="11">
        <f t="shared" si="13"/>
        <v>15781.678496929046</v>
      </c>
      <c r="H20" s="11">
        <f t="shared" si="13"/>
        <v>15892.651219931769</v>
      </c>
      <c r="I20" s="11">
        <f t="shared" si="13"/>
        <v>16018.20038560662</v>
      </c>
      <c r="J20" s="11">
        <f t="shared" si="13"/>
        <v>16043.376062399539</v>
      </c>
      <c r="K20" s="11">
        <f t="shared" si="13"/>
        <v>16068.593318869511</v>
      </c>
      <c r="L20" s="11">
        <f t="shared" si="13"/>
        <v>16093.852223688755</v>
      </c>
      <c r="M20" s="11">
        <f t="shared" si="13"/>
        <v>16119.152845642904</v>
      </c>
      <c r="N20" s="11">
        <f t="shared" si="13"/>
        <v>16144.495253631201</v>
      </c>
      <c r="O20" s="11">
        <f t="shared" si="13"/>
        <v>16188.51964216034</v>
      </c>
      <c r="P20" s="11">
        <f t="shared" si="13"/>
        <v>16213.945829370008</v>
      </c>
      <c r="Q20" s="11">
        <f t="shared" si="13"/>
        <v>16239.414009995051</v>
      </c>
      <c r="R20" s="11">
        <f t="shared" si="13"/>
        <v>16264.924253391007</v>
      </c>
      <c r="S20" s="11">
        <f t="shared" si="13"/>
        <v>16290.476629027964</v>
      </c>
      <c r="T20" s="11">
        <f t="shared" si="13"/>
        <v>16316.071206490742</v>
      </c>
      <c r="U20" s="11">
        <f t="shared" si="13"/>
        <v>16341.708055479088</v>
      </c>
      <c r="V20" s="11">
        <f t="shared" si="13"/>
        <v>16367.387245807864</v>
      </c>
      <c r="W20" s="11">
        <f t="shared" si="13"/>
        <v>16393.108847407238</v>
      </c>
      <c r="X20" s="11">
        <f t="shared" si="13"/>
        <v>16418.872930322865</v>
      </c>
      <c r="Y20" s="11">
        <f t="shared" si="13"/>
        <v>16444.679564716098</v>
      </c>
      <c r="Z20" s="11">
        <f t="shared" si="13"/>
        <v>16470.528820864161</v>
      </c>
      <c r="AA20" s="11">
        <f t="shared" si="13"/>
        <v>16515.560314253162</v>
      </c>
      <c r="AB20" s="11">
        <f t="shared" si="13"/>
        <v>16541.495025207023</v>
      </c>
      <c r="AC20" s="11">
        <f t="shared" si="13"/>
        <v>16567.472569444566</v>
      </c>
      <c r="AD20" s="11">
        <f t="shared" si="13"/>
        <v>16593.493017708442</v>
      </c>
      <c r="AE20" s="11">
        <f t="shared" si="13"/>
        <v>16619.556440858141</v>
      </c>
      <c r="AF20" s="11">
        <f t="shared" si="13"/>
        <v>16645.662909870174</v>
      </c>
      <c r="AG20" s="11">
        <f t="shared" si="13"/>
        <v>16667.855517838289</v>
      </c>
      <c r="AH20" s="11">
        <f t="shared" si="13"/>
        <v>16694.048291973642</v>
      </c>
      <c r="AI20" s="11">
        <f t="shared" ref="AI20:BJ20" si="14">AI18+AI19</f>
        <v>16720.284325605</v>
      </c>
      <c r="AJ20" s="11">
        <f t="shared" si="14"/>
        <v>16746.563690178944</v>
      </c>
      <c r="AK20" s="11">
        <f t="shared" si="14"/>
        <v>16772.88645726004</v>
      </c>
      <c r="AL20" s="11">
        <f t="shared" si="14"/>
        <v>16793.010786658317</v>
      </c>
      <c r="AM20" s="11">
        <f t="shared" si="14"/>
        <v>16858.396743774676</v>
      </c>
      <c r="AN20" s="11">
        <f t="shared" si="14"/>
        <v>16884.850148947615</v>
      </c>
      <c r="AO20" s="11">
        <f t="shared" si="14"/>
        <v>16911.347244069912</v>
      </c>
      <c r="AP20" s="11">
        <f t="shared" si="14"/>
        <v>16937.888101299064</v>
      </c>
      <c r="AQ20" s="11">
        <f t="shared" si="14"/>
        <v>16964.472792911754</v>
      </c>
      <c r="AR20" s="11">
        <f t="shared" si="14"/>
        <v>16976.41491638936</v>
      </c>
      <c r="AS20" s="11">
        <f t="shared" si="14"/>
        <v>17003.087494076837</v>
      </c>
      <c r="AT20" s="11">
        <f t="shared" si="14"/>
        <v>17029.804123694896</v>
      </c>
      <c r="AU20" s="11">
        <f t="shared" si="14"/>
        <v>17056.564877998881</v>
      </c>
      <c r="AV20" s="11">
        <f t="shared" si="14"/>
        <v>17083.369829864303</v>
      </c>
      <c r="AW20" s="11">
        <f t="shared" si="14"/>
        <v>17110.219052287022</v>
      </c>
      <c r="AX20" s="11">
        <f t="shared" si="14"/>
        <v>17160.262039878467</v>
      </c>
      <c r="AY20" s="11">
        <f t="shared" si="14"/>
        <v>17208.991771076624</v>
      </c>
      <c r="AZ20" s="11">
        <f t="shared" si="14"/>
        <v>17235.974244353023</v>
      </c>
      <c r="BA20" s="11">
        <f t="shared" si="14"/>
        <v>17263.001281377761</v>
      </c>
      <c r="BB20" s="11">
        <f t="shared" si="14"/>
        <v>17290.072955751497</v>
      </c>
      <c r="BC20" s="11">
        <f t="shared" si="14"/>
        <v>17317.189341196441</v>
      </c>
      <c r="BD20" s="11">
        <f t="shared" si="14"/>
        <v>17251.016324107943</v>
      </c>
      <c r="BE20" s="11">
        <f t="shared" si="14"/>
        <v>17278.222353349167</v>
      </c>
      <c r="BF20" s="11">
        <f t="shared" si="14"/>
        <v>17305.473315559586</v>
      </c>
      <c r="BG20" s="11">
        <f t="shared" si="14"/>
        <v>17332.769284949653</v>
      </c>
      <c r="BH20" s="11">
        <f t="shared" si="14"/>
        <v>17360.11033585238</v>
      </c>
      <c r="BI20" s="11">
        <f t="shared" si="14"/>
        <v>17387.496542723555</v>
      </c>
      <c r="BJ20" s="11">
        <f t="shared" si="14"/>
        <v>17453.634228117829</v>
      </c>
    </row>
    <row r="22" spans="2:63" x14ac:dyDescent="0.25">
      <c r="B22" s="12" t="s">
        <v>15</v>
      </c>
      <c r="C22" s="13">
        <f>C15-C20</f>
        <v>9981.4993010812832</v>
      </c>
      <c r="D22" s="13">
        <f t="shared" ref="D22:BJ22" si="15">D15-D20</f>
        <v>9973.9777916723597</v>
      </c>
      <c r="E22" s="13">
        <f t="shared" si="15"/>
        <v>9966.4438598791348</v>
      </c>
      <c r="F22" s="13">
        <f t="shared" si="15"/>
        <v>9958.8974851850307</v>
      </c>
      <c r="G22" s="13">
        <f t="shared" si="15"/>
        <v>9951.3386470395853</v>
      </c>
      <c r="H22" s="13">
        <f t="shared" si="15"/>
        <v>14073.657098742387</v>
      </c>
      <c r="I22" s="13">
        <f t="shared" si="15"/>
        <v>19370.579166666663</v>
      </c>
      <c r="J22" s="13">
        <f t="shared" si="15"/>
        <v>19370.579166666663</v>
      </c>
      <c r="K22" s="13">
        <f t="shared" si="15"/>
        <v>19370.579166666663</v>
      </c>
      <c r="L22" s="13">
        <f t="shared" si="15"/>
        <v>19370.579166666666</v>
      </c>
      <c r="M22" s="13">
        <f t="shared" si="15"/>
        <v>19370.579166666666</v>
      </c>
      <c r="N22" s="13">
        <f t="shared" si="15"/>
        <v>19370.579166666666</v>
      </c>
      <c r="O22" s="13">
        <f t="shared" si="15"/>
        <v>19836.582304008261</v>
      </c>
      <c r="P22" s="13">
        <f t="shared" si="15"/>
        <v>19836.582304008261</v>
      </c>
      <c r="Q22" s="13">
        <f t="shared" si="15"/>
        <v>19836.582304008261</v>
      </c>
      <c r="R22" s="13">
        <f t="shared" si="15"/>
        <v>19836.582304008261</v>
      </c>
      <c r="S22" s="13">
        <f t="shared" si="15"/>
        <v>19836.582304008261</v>
      </c>
      <c r="T22" s="13">
        <f t="shared" si="15"/>
        <v>19836.582304008261</v>
      </c>
      <c r="U22" s="13">
        <f t="shared" si="15"/>
        <v>19836.582304008261</v>
      </c>
      <c r="V22" s="13">
        <f t="shared" si="15"/>
        <v>19836.582304008261</v>
      </c>
      <c r="W22" s="13">
        <f t="shared" si="15"/>
        <v>19836.582304008261</v>
      </c>
      <c r="X22" s="13">
        <f t="shared" si="15"/>
        <v>19836.582304008258</v>
      </c>
      <c r="Y22" s="13">
        <f t="shared" si="15"/>
        <v>19836.582304008261</v>
      </c>
      <c r="Z22" s="13">
        <f t="shared" si="15"/>
        <v>19836.582304008258</v>
      </c>
      <c r="AA22" s="13">
        <f t="shared" si="15"/>
        <v>20315.070931328664</v>
      </c>
      <c r="AB22" s="13">
        <f t="shared" si="15"/>
        <v>20315.070931328668</v>
      </c>
      <c r="AC22" s="13">
        <f t="shared" si="15"/>
        <v>20315.070931328664</v>
      </c>
      <c r="AD22" s="13">
        <f t="shared" si="15"/>
        <v>20315.070931328668</v>
      </c>
      <c r="AE22" s="13">
        <f t="shared" si="15"/>
        <v>20315.070931328664</v>
      </c>
      <c r="AF22" s="13">
        <f t="shared" si="15"/>
        <v>20315.070931328664</v>
      </c>
      <c r="AG22" s="13">
        <f t="shared" si="15"/>
        <v>19778.009339640521</v>
      </c>
      <c r="AH22" s="13">
        <f t="shared" si="15"/>
        <v>19777.320827121304</v>
      </c>
      <c r="AI22" s="13">
        <f t="shared" si="15"/>
        <v>19776.631177467683</v>
      </c>
      <c r="AJ22" s="13">
        <f t="shared" si="15"/>
        <v>19775.940388801591</v>
      </c>
      <c r="AK22" s="13">
        <f t="shared" si="15"/>
        <v>19775.248459241851</v>
      </c>
      <c r="AL22" s="13">
        <f t="shared" si="15"/>
        <v>19428.482367170564</v>
      </c>
      <c r="AM22" s="13">
        <f t="shared" si="15"/>
        <v>20843.573101972805</v>
      </c>
      <c r="AN22" s="13">
        <f t="shared" si="15"/>
        <v>20843.273503843749</v>
      </c>
      <c r="AO22" s="13">
        <f t="shared" si="15"/>
        <v>20842.973410904029</v>
      </c>
      <c r="AP22" s="13">
        <f t="shared" si="15"/>
        <v>20842.672822336415</v>
      </c>
      <c r="AQ22" s="13">
        <f t="shared" si="15"/>
        <v>20842.371737322344</v>
      </c>
      <c r="AR22" s="13">
        <f t="shared" si="15"/>
        <v>20138.014921764174</v>
      </c>
      <c r="AS22" s="13">
        <f t="shared" si="15"/>
        <v>20137.183268405064</v>
      </c>
      <c r="AT22" s="13">
        <f t="shared" si="15"/>
        <v>20136.350241502831</v>
      </c>
      <c r="AU22" s="13">
        <f t="shared" si="15"/>
        <v>20135.515838788928</v>
      </c>
      <c r="AV22" s="13">
        <f t="shared" si="15"/>
        <v>20134.680057991118</v>
      </c>
      <c r="AW22" s="13">
        <f t="shared" si="15"/>
        <v>20133.842896833361</v>
      </c>
      <c r="AX22" s="13">
        <f t="shared" si="15"/>
        <v>21246.076595374467</v>
      </c>
      <c r="AY22" s="13">
        <f t="shared" si="15"/>
        <v>21790.870300144619</v>
      </c>
      <c r="AZ22" s="13">
        <f t="shared" si="15"/>
        <v>21790.870300144616</v>
      </c>
      <c r="BA22" s="13">
        <f t="shared" si="15"/>
        <v>21790.870300144623</v>
      </c>
      <c r="BB22" s="13">
        <f t="shared" si="15"/>
        <v>21790.870300144616</v>
      </c>
      <c r="BC22" s="13">
        <f t="shared" si="15"/>
        <v>21790.870300144619</v>
      </c>
      <c r="BD22" s="13">
        <f t="shared" si="15"/>
        <v>18584.351756361059</v>
      </c>
      <c r="BE22" s="13">
        <f t="shared" si="15"/>
        <v>18582.974717408968</v>
      </c>
      <c r="BF22" s="13">
        <f t="shared" si="15"/>
        <v>18581.595404165102</v>
      </c>
      <c r="BG22" s="13">
        <f t="shared" si="15"/>
        <v>18580.213812873262</v>
      </c>
      <c r="BH22" s="13">
        <f t="shared" si="15"/>
        <v>18578.829939771083</v>
      </c>
      <c r="BI22" s="13">
        <f t="shared" si="15"/>
        <v>18577.443781089965</v>
      </c>
      <c r="BJ22" s="13">
        <f t="shared" si="15"/>
        <v>20425.171813326662</v>
      </c>
    </row>
    <row r="24" spans="2:63" x14ac:dyDescent="0.25">
      <c r="B24" s="6" t="s">
        <v>16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</row>
    <row r="25" spans="2:63" x14ac:dyDescent="0.25">
      <c r="B25" s="7" t="s">
        <v>17</v>
      </c>
      <c r="C25" s="8">
        <f>-'CapEx &amp; TI-LC'!H13</f>
        <v>-25000</v>
      </c>
      <c r="D25" s="8">
        <f>-'CapEx &amp; TI-LC'!I13</f>
        <v>-25000</v>
      </c>
      <c r="E25" s="8">
        <f>-'CapEx &amp; TI-LC'!J13</f>
        <v>-25000</v>
      </c>
      <c r="F25" s="8">
        <f>-'CapEx &amp; TI-LC'!K13</f>
        <v>-25000</v>
      </c>
      <c r="G25" s="8">
        <f>-'CapEx &amp; TI-LC'!L13</f>
        <v>-25000</v>
      </c>
      <c r="H25" s="8">
        <f>-'CapEx &amp; TI-LC'!M13</f>
        <v>-25000</v>
      </c>
      <c r="I25" s="8">
        <f>-'CapEx &amp; TI-LC'!N13</f>
        <v>0</v>
      </c>
      <c r="J25" s="8">
        <f>-'CapEx &amp; TI-LC'!O13</f>
        <v>0</v>
      </c>
      <c r="K25" s="8">
        <f>-'CapEx &amp; TI-LC'!P13</f>
        <v>0</v>
      </c>
      <c r="L25" s="8">
        <f>-'CapEx &amp; TI-LC'!Q13</f>
        <v>0</v>
      </c>
      <c r="M25" s="8">
        <f>-'CapEx &amp; TI-LC'!R13</f>
        <v>0</v>
      </c>
      <c r="N25" s="8">
        <f>-'CapEx &amp; TI-LC'!S13</f>
        <v>0</v>
      </c>
      <c r="O25" s="8">
        <f>-'CapEx &amp; TI-LC'!T13</f>
        <v>0</v>
      </c>
      <c r="P25" s="8">
        <f>-'CapEx &amp; TI-LC'!U13</f>
        <v>0</v>
      </c>
      <c r="Q25" s="8">
        <f>-'CapEx &amp; TI-LC'!V13</f>
        <v>0</v>
      </c>
      <c r="R25" s="8">
        <f>-'CapEx &amp; TI-LC'!W13</f>
        <v>0</v>
      </c>
      <c r="S25" s="8">
        <f>-'CapEx &amp; TI-LC'!X13</f>
        <v>0</v>
      </c>
      <c r="T25" s="8">
        <f>-'CapEx &amp; TI-LC'!Y13</f>
        <v>0</v>
      </c>
      <c r="U25" s="8">
        <f>-'CapEx &amp; TI-LC'!Z13</f>
        <v>0</v>
      </c>
      <c r="V25" s="8">
        <f>-'CapEx &amp; TI-LC'!AA13</f>
        <v>0</v>
      </c>
      <c r="W25" s="8">
        <f>-'CapEx &amp; TI-LC'!AB13</f>
        <v>0</v>
      </c>
      <c r="X25" s="8">
        <f>-'CapEx &amp; TI-LC'!AC13</f>
        <v>0</v>
      </c>
      <c r="Y25" s="8">
        <f>-'CapEx &amp; TI-LC'!AD13</f>
        <v>0</v>
      </c>
      <c r="Z25" s="8">
        <f>-'CapEx &amp; TI-LC'!AE13</f>
        <v>0</v>
      </c>
      <c r="AA25" s="8">
        <f>-'CapEx &amp; TI-LC'!AF13</f>
        <v>0</v>
      </c>
      <c r="AB25" s="8">
        <f>-'CapEx &amp; TI-LC'!AG13</f>
        <v>0</v>
      </c>
      <c r="AC25" s="8">
        <f>-'CapEx &amp; TI-LC'!AH13</f>
        <v>0</v>
      </c>
      <c r="AD25" s="8">
        <f>-'CapEx &amp; TI-LC'!AI13</f>
        <v>0</v>
      </c>
      <c r="AE25" s="8">
        <f>-'CapEx &amp; TI-LC'!AJ13</f>
        <v>0</v>
      </c>
      <c r="AF25" s="8">
        <f>-'CapEx &amp; TI-LC'!AK13</f>
        <v>0</v>
      </c>
      <c r="AG25" s="8">
        <f>-'CapEx &amp; TI-LC'!AL13</f>
        <v>0</v>
      </c>
      <c r="AH25" s="8">
        <f>-'CapEx &amp; TI-LC'!AM13</f>
        <v>0</v>
      </c>
      <c r="AI25" s="8">
        <f>-'CapEx &amp; TI-LC'!AN13</f>
        <v>0</v>
      </c>
      <c r="AJ25" s="8">
        <f>-'CapEx &amp; TI-LC'!AO13</f>
        <v>0</v>
      </c>
      <c r="AK25" s="8">
        <f>-'CapEx &amp; TI-LC'!AP13</f>
        <v>0</v>
      </c>
      <c r="AL25" s="8">
        <f>-'CapEx &amp; TI-LC'!AQ13</f>
        <v>0</v>
      </c>
      <c r="AM25" s="8">
        <f>-'CapEx &amp; TI-LC'!AR13</f>
        <v>0</v>
      </c>
      <c r="AN25" s="8">
        <f>-'CapEx &amp; TI-LC'!AS13</f>
        <v>0</v>
      </c>
      <c r="AO25" s="8">
        <f>-'CapEx &amp; TI-LC'!AT13</f>
        <v>0</v>
      </c>
      <c r="AP25" s="8">
        <f>-'CapEx &amp; TI-LC'!AU13</f>
        <v>0</v>
      </c>
      <c r="AQ25" s="8">
        <f>-'CapEx &amp; TI-LC'!AV13</f>
        <v>0</v>
      </c>
      <c r="AR25" s="8">
        <f>-'CapEx &amp; TI-LC'!AW13</f>
        <v>0</v>
      </c>
      <c r="AS25" s="8">
        <f>-'CapEx &amp; TI-LC'!AX13</f>
        <v>0</v>
      </c>
      <c r="AT25" s="8">
        <f>-'CapEx &amp; TI-LC'!AY13</f>
        <v>0</v>
      </c>
      <c r="AU25" s="8">
        <f>-'CapEx &amp; TI-LC'!AZ13</f>
        <v>0</v>
      </c>
      <c r="AV25" s="8">
        <f>-'CapEx &amp; TI-LC'!BA13</f>
        <v>0</v>
      </c>
      <c r="AW25" s="8">
        <f>-'CapEx &amp; TI-LC'!BB13</f>
        <v>0</v>
      </c>
      <c r="AX25" s="8">
        <f>-'CapEx &amp; TI-LC'!BC13</f>
        <v>0</v>
      </c>
      <c r="AY25" s="8">
        <f>-'CapEx &amp; TI-LC'!BD13</f>
        <v>0</v>
      </c>
      <c r="AZ25" s="8">
        <f>-'CapEx &amp; TI-LC'!BE13</f>
        <v>0</v>
      </c>
      <c r="BA25" s="8">
        <f>-'CapEx &amp; TI-LC'!BF13</f>
        <v>0</v>
      </c>
      <c r="BB25" s="8">
        <f>-'CapEx &amp; TI-LC'!BG13</f>
        <v>0</v>
      </c>
      <c r="BC25" s="8">
        <f>-'CapEx &amp; TI-LC'!BH13</f>
        <v>0</v>
      </c>
      <c r="BD25" s="8">
        <f>-'CapEx &amp; TI-LC'!BI13</f>
        <v>0</v>
      </c>
      <c r="BE25" s="8">
        <f>-'CapEx &amp; TI-LC'!BJ13</f>
        <v>0</v>
      </c>
      <c r="BF25" s="8">
        <f>-'CapEx &amp; TI-LC'!BK13</f>
        <v>0</v>
      </c>
      <c r="BG25" s="8">
        <f>-'CapEx &amp; TI-LC'!BL13</f>
        <v>0</v>
      </c>
      <c r="BH25" s="8">
        <f>-'CapEx &amp; TI-LC'!BM13</f>
        <v>0</v>
      </c>
      <c r="BI25" s="8">
        <f>-'CapEx &amp; TI-LC'!BN13</f>
        <v>0</v>
      </c>
      <c r="BJ25" s="8">
        <f>-'CapEx &amp; TI-LC'!BO13</f>
        <v>0</v>
      </c>
    </row>
    <row r="26" spans="2:63" x14ac:dyDescent="0.25">
      <c r="B26" s="7" t="s">
        <v>18</v>
      </c>
      <c r="C26" s="9">
        <f>-'CapEx &amp; TI-LC'!H30</f>
        <v>0</v>
      </c>
      <c r="D26" s="9">
        <f>-'CapEx &amp; TI-LC'!I30</f>
        <v>0</v>
      </c>
      <c r="E26" s="9">
        <f>-'CapEx &amp; TI-LC'!J30</f>
        <v>0</v>
      </c>
      <c r="F26" s="9">
        <f>-'CapEx &amp; TI-LC'!K30</f>
        <v>0</v>
      </c>
      <c r="G26" s="9">
        <f>-'CapEx &amp; TI-LC'!L30</f>
        <v>0</v>
      </c>
      <c r="H26" s="9">
        <f>-'CapEx &amp; TI-LC'!M30</f>
        <v>-56500</v>
      </c>
      <c r="I26" s="9">
        <f>-'CapEx &amp; TI-LC'!N30</f>
        <v>-98100</v>
      </c>
      <c r="J26" s="9">
        <f>-'CapEx &amp; TI-LC'!O30</f>
        <v>0</v>
      </c>
      <c r="K26" s="9">
        <f>-'CapEx &amp; TI-LC'!P30</f>
        <v>0</v>
      </c>
      <c r="L26" s="9">
        <f>-'CapEx &amp; TI-LC'!Q30</f>
        <v>0</v>
      </c>
      <c r="M26" s="9">
        <f>-'CapEx &amp; TI-LC'!R30</f>
        <v>0</v>
      </c>
      <c r="N26" s="9">
        <f>-'CapEx &amp; TI-LC'!S30</f>
        <v>0</v>
      </c>
      <c r="O26" s="9">
        <f>-'CapEx &amp; TI-LC'!T30</f>
        <v>0</v>
      </c>
      <c r="P26" s="9">
        <f>-'CapEx &amp; TI-LC'!U30</f>
        <v>0</v>
      </c>
      <c r="Q26" s="9">
        <f>-'CapEx &amp; TI-LC'!V30</f>
        <v>0</v>
      </c>
      <c r="R26" s="9">
        <f>-'CapEx &amp; TI-LC'!W30</f>
        <v>0</v>
      </c>
      <c r="S26" s="9">
        <f>-'CapEx &amp; TI-LC'!X30</f>
        <v>0</v>
      </c>
      <c r="T26" s="9">
        <f>-'CapEx &amp; TI-LC'!Y30</f>
        <v>0</v>
      </c>
      <c r="U26" s="9">
        <f>-'CapEx &amp; TI-LC'!Z30</f>
        <v>0</v>
      </c>
      <c r="V26" s="9">
        <f>-'CapEx &amp; TI-LC'!AA30</f>
        <v>0</v>
      </c>
      <c r="W26" s="9">
        <f>-'CapEx &amp; TI-LC'!AB30</f>
        <v>0</v>
      </c>
      <c r="X26" s="9">
        <f>-'CapEx &amp; TI-LC'!AC30</f>
        <v>0</v>
      </c>
      <c r="Y26" s="9">
        <f>-'CapEx &amp; TI-LC'!AD30</f>
        <v>0</v>
      </c>
      <c r="Z26" s="9">
        <f>-'CapEx &amp; TI-LC'!AE30</f>
        <v>0</v>
      </c>
      <c r="AA26" s="9">
        <f>-'CapEx &amp; TI-LC'!AF30</f>
        <v>0</v>
      </c>
      <c r="AB26" s="9">
        <f>-'CapEx &amp; TI-LC'!AG30</f>
        <v>0</v>
      </c>
      <c r="AC26" s="9">
        <f>-'CapEx &amp; TI-LC'!AH30</f>
        <v>0</v>
      </c>
      <c r="AD26" s="9">
        <f>-'CapEx &amp; TI-LC'!AI30</f>
        <v>0</v>
      </c>
      <c r="AE26" s="9">
        <f>-'CapEx &amp; TI-LC'!AJ30</f>
        <v>0</v>
      </c>
      <c r="AF26" s="9">
        <f>-'CapEx &amp; TI-LC'!AK30</f>
        <v>0</v>
      </c>
      <c r="AG26" s="9">
        <f>-'CapEx &amp; TI-LC'!AL30</f>
        <v>0</v>
      </c>
      <c r="AH26" s="9">
        <f>-'CapEx &amp; TI-LC'!AM30</f>
        <v>0</v>
      </c>
      <c r="AI26" s="9">
        <f>-'CapEx &amp; TI-LC'!AN30</f>
        <v>0</v>
      </c>
      <c r="AJ26" s="9">
        <f>-'CapEx &amp; TI-LC'!AO30</f>
        <v>0</v>
      </c>
      <c r="AK26" s="9">
        <f>-'CapEx &amp; TI-LC'!AP30</f>
        <v>0</v>
      </c>
      <c r="AL26" s="9">
        <f>-'CapEx &amp; TI-LC'!AQ30</f>
        <v>0</v>
      </c>
      <c r="AM26" s="9">
        <f>-'CapEx &amp; TI-LC'!AR30</f>
        <v>-18800</v>
      </c>
      <c r="AN26" s="9">
        <f>-'CapEx &amp; TI-LC'!AS30</f>
        <v>0</v>
      </c>
      <c r="AO26" s="9">
        <f>-'CapEx &amp; TI-LC'!AT30</f>
        <v>0</v>
      </c>
      <c r="AP26" s="9">
        <f>-'CapEx &amp; TI-LC'!AU30</f>
        <v>0</v>
      </c>
      <c r="AQ26" s="9">
        <f>-'CapEx &amp; TI-LC'!AV30</f>
        <v>0</v>
      </c>
      <c r="AR26" s="9">
        <f>-'CapEx &amp; TI-LC'!AW30</f>
        <v>-8100</v>
      </c>
      <c r="AS26" s="9">
        <f>-'CapEx &amp; TI-LC'!AX30</f>
        <v>0</v>
      </c>
      <c r="AT26" s="9">
        <f>-'CapEx &amp; TI-LC'!AY30</f>
        <v>0</v>
      </c>
      <c r="AU26" s="9">
        <f>-'CapEx &amp; TI-LC'!AZ30</f>
        <v>0</v>
      </c>
      <c r="AV26" s="9">
        <f>-'CapEx &amp; TI-LC'!BA30</f>
        <v>0</v>
      </c>
      <c r="AW26" s="9">
        <f>-'CapEx &amp; TI-LC'!BB30</f>
        <v>0</v>
      </c>
      <c r="AX26" s="9">
        <f>-'CapEx &amp; TI-LC'!BC30</f>
        <v>-22300</v>
      </c>
      <c r="AY26" s="9">
        <f>-'CapEx &amp; TI-LC'!BD30</f>
        <v>0</v>
      </c>
      <c r="AZ26" s="9">
        <f>-'CapEx &amp; TI-LC'!BE30</f>
        <v>0</v>
      </c>
      <c r="BA26" s="9">
        <f>-'CapEx &amp; TI-LC'!BF30</f>
        <v>0</v>
      </c>
      <c r="BB26" s="9">
        <f>-'CapEx &amp; TI-LC'!BG30</f>
        <v>0</v>
      </c>
      <c r="BC26" s="9">
        <f>-'CapEx &amp; TI-LC'!BH30</f>
        <v>0</v>
      </c>
      <c r="BD26" s="9">
        <f>-'CapEx &amp; TI-LC'!BI30</f>
        <v>0</v>
      </c>
      <c r="BE26" s="9">
        <f>-'CapEx &amp; TI-LC'!BJ30</f>
        <v>0</v>
      </c>
      <c r="BF26" s="9">
        <f>-'CapEx &amp; TI-LC'!BK30</f>
        <v>0</v>
      </c>
      <c r="BG26" s="9">
        <f>-'CapEx &amp; TI-LC'!BL30</f>
        <v>0</v>
      </c>
      <c r="BH26" s="9">
        <f>-'CapEx &amp; TI-LC'!BM30</f>
        <v>0</v>
      </c>
      <c r="BI26" s="9">
        <f>-'CapEx &amp; TI-LC'!BN30</f>
        <v>0</v>
      </c>
      <c r="BJ26" s="9">
        <f>-'CapEx &amp; TI-LC'!BO30</f>
        <v>-36200</v>
      </c>
    </row>
    <row r="27" spans="2:63" x14ac:dyDescent="0.25">
      <c r="B27" s="7" t="s">
        <v>19</v>
      </c>
      <c r="C27" s="9">
        <f>-'CapEx &amp; TI-LC'!H46</f>
        <v>0</v>
      </c>
      <c r="D27" s="9">
        <f>-'CapEx &amp; TI-LC'!I46</f>
        <v>0</v>
      </c>
      <c r="E27" s="9">
        <f>-'CapEx &amp; TI-LC'!J46</f>
        <v>0</v>
      </c>
      <c r="F27" s="9">
        <f>-'CapEx &amp; TI-LC'!K46</f>
        <v>0</v>
      </c>
      <c r="G27" s="9">
        <f>-'CapEx &amp; TI-LC'!L46</f>
        <v>0</v>
      </c>
      <c r="H27" s="9">
        <f>-'CapEx &amp; TI-LC'!M46</f>
        <v>-8136</v>
      </c>
      <c r="I27" s="9">
        <f>-'CapEx &amp; TI-LC'!N46</f>
        <v>-18387</v>
      </c>
      <c r="J27" s="9">
        <f>-'CapEx &amp; TI-LC'!O46</f>
        <v>0</v>
      </c>
      <c r="K27" s="9">
        <f>-'CapEx &amp; TI-LC'!P46</f>
        <v>0</v>
      </c>
      <c r="L27" s="9">
        <f>-'CapEx &amp; TI-LC'!Q46</f>
        <v>0</v>
      </c>
      <c r="M27" s="9">
        <f>-'CapEx &amp; TI-LC'!R46</f>
        <v>0</v>
      </c>
      <c r="N27" s="9">
        <f>-'CapEx &amp; TI-LC'!S46</f>
        <v>0</v>
      </c>
      <c r="O27" s="9">
        <f>-'CapEx &amp; TI-LC'!T46</f>
        <v>0</v>
      </c>
      <c r="P27" s="9">
        <f>-'CapEx &amp; TI-LC'!U46</f>
        <v>0</v>
      </c>
      <c r="Q27" s="9">
        <f>-'CapEx &amp; TI-LC'!V46</f>
        <v>0</v>
      </c>
      <c r="R27" s="9">
        <f>-'CapEx &amp; TI-LC'!W46</f>
        <v>0</v>
      </c>
      <c r="S27" s="9">
        <f>-'CapEx &amp; TI-LC'!X46</f>
        <v>0</v>
      </c>
      <c r="T27" s="9">
        <f>-'CapEx &amp; TI-LC'!Y46</f>
        <v>0</v>
      </c>
      <c r="U27" s="9">
        <f>-'CapEx &amp; TI-LC'!Z46</f>
        <v>0</v>
      </c>
      <c r="V27" s="9">
        <f>-'CapEx &amp; TI-LC'!AA46</f>
        <v>0</v>
      </c>
      <c r="W27" s="9">
        <f>-'CapEx &amp; TI-LC'!AB46</f>
        <v>0</v>
      </c>
      <c r="X27" s="9">
        <f>-'CapEx &amp; TI-LC'!AC46</f>
        <v>0</v>
      </c>
      <c r="Y27" s="9">
        <f>-'CapEx &amp; TI-LC'!AD46</f>
        <v>0</v>
      </c>
      <c r="Z27" s="9">
        <f>-'CapEx &amp; TI-LC'!AE46</f>
        <v>0</v>
      </c>
      <c r="AA27" s="9">
        <f>-'CapEx &amp; TI-LC'!AF46</f>
        <v>0</v>
      </c>
      <c r="AB27" s="9">
        <f>-'CapEx &amp; TI-LC'!AG46</f>
        <v>0</v>
      </c>
      <c r="AC27" s="9">
        <f>-'CapEx &amp; TI-LC'!AH46</f>
        <v>0</v>
      </c>
      <c r="AD27" s="9">
        <f>-'CapEx &amp; TI-LC'!AI46</f>
        <v>0</v>
      </c>
      <c r="AE27" s="9">
        <f>-'CapEx &amp; TI-LC'!AJ46</f>
        <v>0</v>
      </c>
      <c r="AF27" s="9">
        <f>-'CapEx &amp; TI-LC'!AK46</f>
        <v>0</v>
      </c>
      <c r="AG27" s="9">
        <f>-'CapEx &amp; TI-LC'!AL46</f>
        <v>0</v>
      </c>
      <c r="AH27" s="9">
        <f>-'CapEx &amp; TI-LC'!AM46</f>
        <v>0</v>
      </c>
      <c r="AI27" s="9">
        <f>-'CapEx &amp; TI-LC'!AN46</f>
        <v>0</v>
      </c>
      <c r="AJ27" s="9">
        <f>-'CapEx &amp; TI-LC'!AO46</f>
        <v>0</v>
      </c>
      <c r="AK27" s="9">
        <f>-'CapEx &amp; TI-LC'!AP46</f>
        <v>0</v>
      </c>
      <c r="AL27" s="9">
        <f>-'CapEx &amp; TI-LC'!AQ46</f>
        <v>0</v>
      </c>
      <c r="AM27" s="9">
        <f>-'CapEx &amp; TI-LC'!AR46</f>
        <v>-4622.2352099999998</v>
      </c>
      <c r="AN27" s="9">
        <f>-'CapEx &amp; TI-LC'!AS46</f>
        <v>0</v>
      </c>
      <c r="AO27" s="9">
        <f>-'CapEx &amp; TI-LC'!AT46</f>
        <v>0</v>
      </c>
      <c r="AP27" s="9">
        <f>-'CapEx &amp; TI-LC'!AU46</f>
        <v>0</v>
      </c>
      <c r="AQ27" s="9">
        <f>-'CapEx &amp; TI-LC'!AV46</f>
        <v>0</v>
      </c>
      <c r="AR27" s="9">
        <f>-'CapEx &amp; TI-LC'!AW46</f>
        <v>-1194.8969745000002</v>
      </c>
      <c r="AS27" s="9">
        <f>-'CapEx &amp; TI-LC'!AX46</f>
        <v>0</v>
      </c>
      <c r="AT27" s="9">
        <f>-'CapEx &amp; TI-LC'!AY46</f>
        <v>0</v>
      </c>
      <c r="AU27" s="9">
        <f>-'CapEx &amp; TI-LC'!AZ46</f>
        <v>0</v>
      </c>
      <c r="AV27" s="9">
        <f>-'CapEx &amp; TI-LC'!BA46</f>
        <v>0</v>
      </c>
      <c r="AW27" s="9">
        <f>-'CapEx &amp; TI-LC'!BB46</f>
        <v>0</v>
      </c>
      <c r="AX27" s="9">
        <f>-'CapEx &amp; TI-LC'!BC46</f>
        <v>-5482.7577225000005</v>
      </c>
      <c r="AY27" s="9">
        <f>-'CapEx &amp; TI-LC'!BD46</f>
        <v>0</v>
      </c>
      <c r="AZ27" s="9">
        <f>-'CapEx &amp; TI-LC'!BE46</f>
        <v>0</v>
      </c>
      <c r="BA27" s="9">
        <f>-'CapEx &amp; TI-LC'!BF46</f>
        <v>0</v>
      </c>
      <c r="BB27" s="9">
        <f>-'CapEx &amp; TI-LC'!BG46</f>
        <v>0</v>
      </c>
      <c r="BC27" s="9">
        <f>-'CapEx &amp; TI-LC'!BH46</f>
        <v>0</v>
      </c>
      <c r="BD27" s="9">
        <f>-'CapEx &amp; TI-LC'!BI46</f>
        <v>0</v>
      </c>
      <c r="BE27" s="9">
        <f>-'CapEx &amp; TI-LC'!BJ46</f>
        <v>0</v>
      </c>
      <c r="BF27" s="9">
        <f>-'CapEx &amp; TI-LC'!BK46</f>
        <v>0</v>
      </c>
      <c r="BG27" s="9">
        <f>-'CapEx &amp; TI-LC'!BL46</f>
        <v>0</v>
      </c>
      <c r="BH27" s="9">
        <f>-'CapEx &amp; TI-LC'!BM46</f>
        <v>0</v>
      </c>
      <c r="BI27" s="9">
        <f>-'CapEx &amp; TI-LC'!BN46</f>
        <v>0</v>
      </c>
      <c r="BJ27" s="9">
        <f>-'CapEx &amp; TI-LC'!BO46</f>
        <v>-9167.2692574499979</v>
      </c>
    </row>
    <row r="28" spans="2:63" x14ac:dyDescent="0.25">
      <c r="B28" s="195" t="s">
        <v>285</v>
      </c>
      <c r="C28" s="196">
        <f>SUM(C25:C27)</f>
        <v>-25000</v>
      </c>
      <c r="D28" s="196">
        <f t="shared" ref="D28:BJ28" si="16">SUM(D25:D27)</f>
        <v>-25000</v>
      </c>
      <c r="E28" s="196">
        <f t="shared" si="16"/>
        <v>-25000</v>
      </c>
      <c r="F28" s="196">
        <f t="shared" si="16"/>
        <v>-25000</v>
      </c>
      <c r="G28" s="196">
        <f t="shared" si="16"/>
        <v>-25000</v>
      </c>
      <c r="H28" s="196">
        <f t="shared" si="16"/>
        <v>-89636</v>
      </c>
      <c r="I28" s="196">
        <f t="shared" si="16"/>
        <v>-116487</v>
      </c>
      <c r="J28" s="196">
        <f t="shared" si="16"/>
        <v>0</v>
      </c>
      <c r="K28" s="196">
        <f t="shared" si="16"/>
        <v>0</v>
      </c>
      <c r="L28" s="196">
        <f t="shared" si="16"/>
        <v>0</v>
      </c>
      <c r="M28" s="196">
        <f t="shared" si="16"/>
        <v>0</v>
      </c>
      <c r="N28" s="196">
        <f t="shared" si="16"/>
        <v>0</v>
      </c>
      <c r="O28" s="196">
        <f t="shared" si="16"/>
        <v>0</v>
      </c>
      <c r="P28" s="196">
        <f t="shared" si="16"/>
        <v>0</v>
      </c>
      <c r="Q28" s="196">
        <f t="shared" si="16"/>
        <v>0</v>
      </c>
      <c r="R28" s="196">
        <f t="shared" si="16"/>
        <v>0</v>
      </c>
      <c r="S28" s="196">
        <f t="shared" si="16"/>
        <v>0</v>
      </c>
      <c r="T28" s="196">
        <f t="shared" si="16"/>
        <v>0</v>
      </c>
      <c r="U28" s="196">
        <f t="shared" si="16"/>
        <v>0</v>
      </c>
      <c r="V28" s="196">
        <f t="shared" si="16"/>
        <v>0</v>
      </c>
      <c r="W28" s="196">
        <f t="shared" si="16"/>
        <v>0</v>
      </c>
      <c r="X28" s="196">
        <f t="shared" si="16"/>
        <v>0</v>
      </c>
      <c r="Y28" s="196">
        <f t="shared" si="16"/>
        <v>0</v>
      </c>
      <c r="Z28" s="196">
        <f t="shared" si="16"/>
        <v>0</v>
      </c>
      <c r="AA28" s="196">
        <f t="shared" si="16"/>
        <v>0</v>
      </c>
      <c r="AB28" s="196">
        <f t="shared" si="16"/>
        <v>0</v>
      </c>
      <c r="AC28" s="196">
        <f t="shared" si="16"/>
        <v>0</v>
      </c>
      <c r="AD28" s="196">
        <f t="shared" si="16"/>
        <v>0</v>
      </c>
      <c r="AE28" s="196">
        <f t="shared" si="16"/>
        <v>0</v>
      </c>
      <c r="AF28" s="196">
        <f t="shared" si="16"/>
        <v>0</v>
      </c>
      <c r="AG28" s="196">
        <f t="shared" si="16"/>
        <v>0</v>
      </c>
      <c r="AH28" s="196">
        <f t="shared" si="16"/>
        <v>0</v>
      </c>
      <c r="AI28" s="196">
        <f t="shared" si="16"/>
        <v>0</v>
      </c>
      <c r="AJ28" s="196">
        <f t="shared" si="16"/>
        <v>0</v>
      </c>
      <c r="AK28" s="196">
        <f t="shared" si="16"/>
        <v>0</v>
      </c>
      <c r="AL28" s="196">
        <f t="shared" si="16"/>
        <v>0</v>
      </c>
      <c r="AM28" s="196">
        <f t="shared" si="16"/>
        <v>-23422.235209999999</v>
      </c>
      <c r="AN28" s="196">
        <f t="shared" si="16"/>
        <v>0</v>
      </c>
      <c r="AO28" s="196">
        <f t="shared" si="16"/>
        <v>0</v>
      </c>
      <c r="AP28" s="196">
        <f t="shared" si="16"/>
        <v>0</v>
      </c>
      <c r="AQ28" s="196">
        <f t="shared" si="16"/>
        <v>0</v>
      </c>
      <c r="AR28" s="196">
        <f t="shared" si="16"/>
        <v>-9294.8969744999995</v>
      </c>
      <c r="AS28" s="196">
        <f t="shared" si="16"/>
        <v>0</v>
      </c>
      <c r="AT28" s="196">
        <f t="shared" si="16"/>
        <v>0</v>
      </c>
      <c r="AU28" s="196">
        <f t="shared" si="16"/>
        <v>0</v>
      </c>
      <c r="AV28" s="196">
        <f t="shared" si="16"/>
        <v>0</v>
      </c>
      <c r="AW28" s="196">
        <f t="shared" si="16"/>
        <v>0</v>
      </c>
      <c r="AX28" s="196">
        <f t="shared" si="16"/>
        <v>-27782.757722499999</v>
      </c>
      <c r="AY28" s="196">
        <f t="shared" si="16"/>
        <v>0</v>
      </c>
      <c r="AZ28" s="196">
        <f t="shared" si="16"/>
        <v>0</v>
      </c>
      <c r="BA28" s="196">
        <f t="shared" si="16"/>
        <v>0</v>
      </c>
      <c r="BB28" s="196">
        <f t="shared" si="16"/>
        <v>0</v>
      </c>
      <c r="BC28" s="196">
        <f t="shared" si="16"/>
        <v>0</v>
      </c>
      <c r="BD28" s="196">
        <f t="shared" si="16"/>
        <v>0</v>
      </c>
      <c r="BE28" s="196">
        <f t="shared" si="16"/>
        <v>0</v>
      </c>
      <c r="BF28" s="196">
        <f t="shared" si="16"/>
        <v>0</v>
      </c>
      <c r="BG28" s="196">
        <f t="shared" si="16"/>
        <v>0</v>
      </c>
      <c r="BH28" s="196">
        <f t="shared" si="16"/>
        <v>0</v>
      </c>
      <c r="BI28" s="196">
        <f t="shared" si="16"/>
        <v>0</v>
      </c>
      <c r="BJ28" s="196">
        <f t="shared" si="16"/>
        <v>-45367.269257449996</v>
      </c>
      <c r="BK28" s="194"/>
    </row>
    <row r="29" spans="2:63" x14ac:dyDescent="0.25">
      <c r="B29" s="190" t="s">
        <v>20</v>
      </c>
      <c r="C29" s="191">
        <f t="shared" ref="C29:AH29" si="17">C22+C25+C26+C27</f>
        <v>-15018.500698918717</v>
      </c>
      <c r="D29" s="191">
        <f t="shared" si="17"/>
        <v>-15026.02220832764</v>
      </c>
      <c r="E29" s="191">
        <f t="shared" si="17"/>
        <v>-15033.556140120865</v>
      </c>
      <c r="F29" s="191">
        <f t="shared" si="17"/>
        <v>-15041.102514814969</v>
      </c>
      <c r="G29" s="191">
        <f t="shared" si="17"/>
        <v>-15048.661352960415</v>
      </c>
      <c r="H29" s="191">
        <f t="shared" si="17"/>
        <v>-75562.342901257609</v>
      </c>
      <c r="I29" s="191">
        <f t="shared" si="17"/>
        <v>-97116.420833333337</v>
      </c>
      <c r="J29" s="191">
        <f t="shared" si="17"/>
        <v>19370.579166666663</v>
      </c>
      <c r="K29" s="191">
        <f t="shared" si="17"/>
        <v>19370.579166666663</v>
      </c>
      <c r="L29" s="191">
        <f t="shared" si="17"/>
        <v>19370.579166666666</v>
      </c>
      <c r="M29" s="191">
        <f t="shared" si="17"/>
        <v>19370.579166666666</v>
      </c>
      <c r="N29" s="191">
        <f t="shared" si="17"/>
        <v>19370.579166666666</v>
      </c>
      <c r="O29" s="191">
        <f t="shared" si="17"/>
        <v>19836.582304008261</v>
      </c>
      <c r="P29" s="191">
        <f t="shared" si="17"/>
        <v>19836.582304008261</v>
      </c>
      <c r="Q29" s="191">
        <f t="shared" si="17"/>
        <v>19836.582304008261</v>
      </c>
      <c r="R29" s="191">
        <f t="shared" si="17"/>
        <v>19836.582304008261</v>
      </c>
      <c r="S29" s="191">
        <f t="shared" si="17"/>
        <v>19836.582304008261</v>
      </c>
      <c r="T29" s="191">
        <f t="shared" si="17"/>
        <v>19836.582304008261</v>
      </c>
      <c r="U29" s="191">
        <f t="shared" si="17"/>
        <v>19836.582304008261</v>
      </c>
      <c r="V29" s="191">
        <f t="shared" si="17"/>
        <v>19836.582304008261</v>
      </c>
      <c r="W29" s="191">
        <f t="shared" si="17"/>
        <v>19836.582304008261</v>
      </c>
      <c r="X29" s="191">
        <f t="shared" si="17"/>
        <v>19836.582304008258</v>
      </c>
      <c r="Y29" s="191">
        <f t="shared" si="17"/>
        <v>19836.582304008261</v>
      </c>
      <c r="Z29" s="191">
        <f t="shared" si="17"/>
        <v>19836.582304008258</v>
      </c>
      <c r="AA29" s="191">
        <f t="shared" si="17"/>
        <v>20315.070931328664</v>
      </c>
      <c r="AB29" s="191">
        <f t="shared" si="17"/>
        <v>20315.070931328668</v>
      </c>
      <c r="AC29" s="191">
        <f t="shared" si="17"/>
        <v>20315.070931328664</v>
      </c>
      <c r="AD29" s="191">
        <f t="shared" si="17"/>
        <v>20315.070931328668</v>
      </c>
      <c r="AE29" s="191">
        <f t="shared" si="17"/>
        <v>20315.070931328664</v>
      </c>
      <c r="AF29" s="191">
        <f t="shared" si="17"/>
        <v>20315.070931328664</v>
      </c>
      <c r="AG29" s="191">
        <f t="shared" si="17"/>
        <v>19778.009339640521</v>
      </c>
      <c r="AH29" s="191">
        <f t="shared" si="17"/>
        <v>19777.320827121304</v>
      </c>
      <c r="AI29" s="191">
        <f t="shared" ref="AI29:BJ29" si="18">AI22+AI25+AI26+AI27</f>
        <v>19776.631177467683</v>
      </c>
      <c r="AJ29" s="191">
        <f t="shared" si="18"/>
        <v>19775.940388801591</v>
      </c>
      <c r="AK29" s="191">
        <f t="shared" si="18"/>
        <v>19775.248459241851</v>
      </c>
      <c r="AL29" s="191">
        <f t="shared" si="18"/>
        <v>19428.482367170564</v>
      </c>
      <c r="AM29" s="191">
        <f t="shared" si="18"/>
        <v>-2578.6621080271952</v>
      </c>
      <c r="AN29" s="191">
        <f t="shared" si="18"/>
        <v>20843.273503843749</v>
      </c>
      <c r="AO29" s="191">
        <f t="shared" si="18"/>
        <v>20842.973410904029</v>
      </c>
      <c r="AP29" s="191">
        <f t="shared" si="18"/>
        <v>20842.672822336415</v>
      </c>
      <c r="AQ29" s="191">
        <f t="shared" si="18"/>
        <v>20842.371737322344</v>
      </c>
      <c r="AR29" s="191">
        <f t="shared" si="18"/>
        <v>10843.117947264174</v>
      </c>
      <c r="AS29" s="191">
        <f t="shared" si="18"/>
        <v>20137.183268405064</v>
      </c>
      <c r="AT29" s="191">
        <f t="shared" si="18"/>
        <v>20136.350241502831</v>
      </c>
      <c r="AU29" s="191">
        <f t="shared" si="18"/>
        <v>20135.515838788928</v>
      </c>
      <c r="AV29" s="191">
        <f t="shared" si="18"/>
        <v>20134.680057991118</v>
      </c>
      <c r="AW29" s="191">
        <f t="shared" si="18"/>
        <v>20133.842896833361</v>
      </c>
      <c r="AX29" s="191">
        <f t="shared" si="18"/>
        <v>-6536.6811271255337</v>
      </c>
      <c r="AY29" s="191">
        <f t="shared" si="18"/>
        <v>21790.870300144619</v>
      </c>
      <c r="AZ29" s="191">
        <f t="shared" si="18"/>
        <v>21790.870300144616</v>
      </c>
      <c r="BA29" s="191">
        <f t="shared" si="18"/>
        <v>21790.870300144623</v>
      </c>
      <c r="BB29" s="191">
        <f t="shared" si="18"/>
        <v>21790.870300144616</v>
      </c>
      <c r="BC29" s="191">
        <f t="shared" si="18"/>
        <v>21790.870300144619</v>
      </c>
      <c r="BD29" s="191">
        <f t="shared" si="18"/>
        <v>18584.351756361059</v>
      </c>
      <c r="BE29" s="191">
        <f t="shared" si="18"/>
        <v>18582.974717408968</v>
      </c>
      <c r="BF29" s="191">
        <f t="shared" si="18"/>
        <v>18581.595404165102</v>
      </c>
      <c r="BG29" s="191">
        <f t="shared" si="18"/>
        <v>18580.213812873262</v>
      </c>
      <c r="BH29" s="191">
        <f t="shared" si="18"/>
        <v>18578.829939771083</v>
      </c>
      <c r="BI29" s="191">
        <f t="shared" si="18"/>
        <v>18577.443781089965</v>
      </c>
      <c r="BJ29" s="191">
        <f t="shared" si="18"/>
        <v>-24942.097444123334</v>
      </c>
    </row>
    <row r="31" spans="2:63" x14ac:dyDescent="0.25">
      <c r="B31" s="6" t="s">
        <v>21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</row>
    <row r="32" spans="2:63" x14ac:dyDescent="0.25">
      <c r="B32" s="7" t="s">
        <v>22</v>
      </c>
      <c r="C32" s="8">
        <f>-Debt!C23</f>
        <v>-11666.666666666666</v>
      </c>
      <c r="D32" s="8">
        <f>-Debt!D23</f>
        <v>-11666.666666666666</v>
      </c>
      <c r="E32" s="8">
        <f>-Debt!E23</f>
        <v>-11666.666666666666</v>
      </c>
      <c r="F32" s="8">
        <f>-Debt!F23</f>
        <v>-11666.666666666666</v>
      </c>
      <c r="G32" s="8">
        <f>-Debt!G23</f>
        <v>-11666.666666666666</v>
      </c>
      <c r="H32" s="8">
        <f>-Debt!H23</f>
        <v>-11666.666666666666</v>
      </c>
      <c r="I32" s="8">
        <f>-Debt!I23</f>
        <v>-11666.666666666666</v>
      </c>
      <c r="J32" s="8">
        <f>-Debt!J23</f>
        <v>-11666.666666666666</v>
      </c>
      <c r="K32" s="8">
        <f>-Debt!K23</f>
        <v>-11666.666666666666</v>
      </c>
      <c r="L32" s="8">
        <f>-Debt!L23</f>
        <v>-11666.666666666666</v>
      </c>
      <c r="M32" s="8">
        <f>-Debt!M23</f>
        <v>-11666.666666666666</v>
      </c>
      <c r="N32" s="8">
        <f>-Debt!N23</f>
        <v>-26367.913629031093</v>
      </c>
      <c r="O32" s="8">
        <f>-Debt!O23</f>
        <v>-14701.246962364428</v>
      </c>
      <c r="P32" s="8">
        <f>-Debt!P23</f>
        <v>-14701.246962364428</v>
      </c>
      <c r="Q32" s="8">
        <f>-Debt!Q23</f>
        <v>-14701.246962364428</v>
      </c>
      <c r="R32" s="8">
        <f>-Debt!R23</f>
        <v>-14701.24696236443</v>
      </c>
      <c r="S32" s="8">
        <f>-Debt!S23</f>
        <v>-14701.246962364428</v>
      </c>
      <c r="T32" s="8">
        <f>-Debt!T23</f>
        <v>-14701.246962364428</v>
      </c>
      <c r="U32" s="8">
        <f>-Debt!U23</f>
        <v>-14701.246962364428</v>
      </c>
      <c r="V32" s="8">
        <f>-Debt!V23</f>
        <v>-14701.246962364427</v>
      </c>
      <c r="W32" s="8">
        <f>-Debt!W23</f>
        <v>-14701.24696236443</v>
      </c>
      <c r="X32" s="8">
        <f>-Debt!X23</f>
        <v>-14701.246962364427</v>
      </c>
      <c r="Y32" s="8">
        <f>-Debt!Y23</f>
        <v>-14701.246962364428</v>
      </c>
      <c r="Z32" s="8">
        <f>-Debt!Z23</f>
        <v>-14701.246962364428</v>
      </c>
      <c r="AA32" s="8">
        <f>-Debt!AA23</f>
        <v>-14701.246962364427</v>
      </c>
      <c r="AB32" s="8">
        <f>-Debt!AB23</f>
        <v>-14701.246962364428</v>
      </c>
      <c r="AC32" s="8">
        <f>-Debt!AC23</f>
        <v>-14701.246962364427</v>
      </c>
      <c r="AD32" s="8">
        <f>-Debt!AD23</f>
        <v>-14701.246962364428</v>
      </c>
      <c r="AE32" s="8">
        <f>-Debt!AE23</f>
        <v>-14701.246962364427</v>
      </c>
      <c r="AF32" s="8">
        <f>-Debt!AF23</f>
        <v>-14701.246962364427</v>
      </c>
      <c r="AG32" s="8">
        <f>-Debt!AG23</f>
        <v>-14701.246962364427</v>
      </c>
      <c r="AH32" s="8">
        <f>-Debt!AH23</f>
        <v>-14701.246962364427</v>
      </c>
      <c r="AI32" s="8">
        <f>-Debt!AI23</f>
        <v>-14701.246962364428</v>
      </c>
      <c r="AJ32" s="8">
        <f>-Debt!AJ23</f>
        <v>-14701.246962364428</v>
      </c>
      <c r="AK32" s="8">
        <f>-Debt!AK23</f>
        <v>-14701.246962364428</v>
      </c>
      <c r="AL32" s="8">
        <f>-Debt!AL23</f>
        <v>-14701.24696236443</v>
      </c>
      <c r="AM32" s="8">
        <f>-Debt!AM23</f>
        <v>-14701.246962364428</v>
      </c>
      <c r="AN32" s="8">
        <f>-Debt!AN23</f>
        <v>-14701.24696236443</v>
      </c>
      <c r="AO32" s="8">
        <f>-Debt!AO23</f>
        <v>-14701.246962364427</v>
      </c>
      <c r="AP32" s="8">
        <f>-Debt!AP23</f>
        <v>-14701.246962364428</v>
      </c>
      <c r="AQ32" s="8">
        <f>-Debt!AQ23</f>
        <v>-14701.246962364428</v>
      </c>
      <c r="AR32" s="8">
        <f>-Debt!AR23</f>
        <v>-14701.246962364428</v>
      </c>
      <c r="AS32" s="8">
        <f>-Debt!AS23</f>
        <v>-14701.24696236443</v>
      </c>
      <c r="AT32" s="8">
        <f>-Debt!AT23</f>
        <v>-14701.24696236443</v>
      </c>
      <c r="AU32" s="8">
        <f>-Debt!AU23</f>
        <v>-14701.246962364428</v>
      </c>
      <c r="AV32" s="8">
        <f>-Debt!AV23</f>
        <v>-14701.246962364428</v>
      </c>
      <c r="AW32" s="8">
        <f>-Debt!AW23</f>
        <v>-14701.24696236443</v>
      </c>
      <c r="AX32" s="8">
        <f>-Debt!AX23</f>
        <v>-14701.24696236443</v>
      </c>
      <c r="AY32" s="8">
        <f>-Debt!AY23</f>
        <v>-14701.246962364428</v>
      </c>
      <c r="AZ32" s="8">
        <f>-Debt!AZ23</f>
        <v>-14701.24696236443</v>
      </c>
      <c r="BA32" s="8">
        <f>-Debt!BA23</f>
        <v>-14701.24696236443</v>
      </c>
      <c r="BB32" s="8">
        <f>-Debt!BB23</f>
        <v>-14701.246962364428</v>
      </c>
      <c r="BC32" s="8">
        <f>-Debt!BC23</f>
        <v>-14701.246962364432</v>
      </c>
      <c r="BD32" s="8">
        <f>-Debt!BD23</f>
        <v>-14701.246962364432</v>
      </c>
      <c r="BE32" s="8">
        <f>-Debt!BE23</f>
        <v>-14701.24696236443</v>
      </c>
      <c r="BF32" s="8">
        <f>-Debt!BF23</f>
        <v>-14701.24696236443</v>
      </c>
      <c r="BG32" s="8">
        <f>-Debt!BG23</f>
        <v>-14701.246962364432</v>
      </c>
      <c r="BH32" s="8">
        <f>-Debt!BH23</f>
        <v>-14701.246962364432</v>
      </c>
      <c r="BI32" s="8">
        <f>-Debt!BI23</f>
        <v>-14701.24696236443</v>
      </c>
      <c r="BJ32" s="8">
        <f>-Debt!BJ23</f>
        <v>-14701.246962364432</v>
      </c>
    </row>
    <row r="33" spans="2:62" x14ac:dyDescent="0.25">
      <c r="B33" s="7" t="s">
        <v>23</v>
      </c>
      <c r="C33" s="9">
        <f t="shared" ref="C33:AH33" si="19">-Repl_Reserve_PSF*NRA/12</f>
        <v>-745</v>
      </c>
      <c r="D33" s="9">
        <f t="shared" si="19"/>
        <v>-745</v>
      </c>
      <c r="E33" s="9">
        <f t="shared" si="19"/>
        <v>-745</v>
      </c>
      <c r="F33" s="9">
        <f t="shared" si="19"/>
        <v>-745</v>
      </c>
      <c r="G33" s="9">
        <f t="shared" si="19"/>
        <v>-745</v>
      </c>
      <c r="H33" s="9">
        <f t="shared" si="19"/>
        <v>-745</v>
      </c>
      <c r="I33" s="9">
        <f t="shared" si="19"/>
        <v>-745</v>
      </c>
      <c r="J33" s="9">
        <f t="shared" si="19"/>
        <v>-745</v>
      </c>
      <c r="K33" s="9">
        <f t="shared" si="19"/>
        <v>-745</v>
      </c>
      <c r="L33" s="9">
        <f t="shared" si="19"/>
        <v>-745</v>
      </c>
      <c r="M33" s="9">
        <f t="shared" si="19"/>
        <v>-745</v>
      </c>
      <c r="N33" s="9">
        <f t="shared" si="19"/>
        <v>-745</v>
      </c>
      <c r="O33" s="9">
        <f t="shared" si="19"/>
        <v>-745</v>
      </c>
      <c r="P33" s="9">
        <f t="shared" si="19"/>
        <v>-745</v>
      </c>
      <c r="Q33" s="9">
        <f t="shared" si="19"/>
        <v>-745</v>
      </c>
      <c r="R33" s="9">
        <f t="shared" si="19"/>
        <v>-745</v>
      </c>
      <c r="S33" s="9">
        <f t="shared" si="19"/>
        <v>-745</v>
      </c>
      <c r="T33" s="9">
        <f t="shared" si="19"/>
        <v>-745</v>
      </c>
      <c r="U33" s="9">
        <f t="shared" si="19"/>
        <v>-745</v>
      </c>
      <c r="V33" s="9">
        <f t="shared" si="19"/>
        <v>-745</v>
      </c>
      <c r="W33" s="9">
        <f t="shared" si="19"/>
        <v>-745</v>
      </c>
      <c r="X33" s="9">
        <f t="shared" si="19"/>
        <v>-745</v>
      </c>
      <c r="Y33" s="9">
        <f t="shared" si="19"/>
        <v>-745</v>
      </c>
      <c r="Z33" s="9">
        <f t="shared" si="19"/>
        <v>-745</v>
      </c>
      <c r="AA33" s="9">
        <f t="shared" si="19"/>
        <v>-745</v>
      </c>
      <c r="AB33" s="9">
        <f t="shared" si="19"/>
        <v>-745</v>
      </c>
      <c r="AC33" s="9">
        <f t="shared" si="19"/>
        <v>-745</v>
      </c>
      <c r="AD33" s="9">
        <f t="shared" si="19"/>
        <v>-745</v>
      </c>
      <c r="AE33" s="9">
        <f t="shared" si="19"/>
        <v>-745</v>
      </c>
      <c r="AF33" s="9">
        <f t="shared" si="19"/>
        <v>-745</v>
      </c>
      <c r="AG33" s="9">
        <f t="shared" si="19"/>
        <v>-745</v>
      </c>
      <c r="AH33" s="9">
        <f t="shared" si="19"/>
        <v>-745</v>
      </c>
      <c r="AI33" s="9">
        <f t="shared" ref="AI33:BJ33" si="20">-Repl_Reserve_PSF*NRA/12</f>
        <v>-745</v>
      </c>
      <c r="AJ33" s="9">
        <f t="shared" si="20"/>
        <v>-745</v>
      </c>
      <c r="AK33" s="9">
        <f t="shared" si="20"/>
        <v>-745</v>
      </c>
      <c r="AL33" s="9">
        <f t="shared" si="20"/>
        <v>-745</v>
      </c>
      <c r="AM33" s="9">
        <f t="shared" si="20"/>
        <v>-745</v>
      </c>
      <c r="AN33" s="9">
        <f t="shared" si="20"/>
        <v>-745</v>
      </c>
      <c r="AO33" s="9">
        <f t="shared" si="20"/>
        <v>-745</v>
      </c>
      <c r="AP33" s="9">
        <f t="shared" si="20"/>
        <v>-745</v>
      </c>
      <c r="AQ33" s="9">
        <f t="shared" si="20"/>
        <v>-745</v>
      </c>
      <c r="AR33" s="9">
        <f t="shared" si="20"/>
        <v>-745</v>
      </c>
      <c r="AS33" s="9">
        <f t="shared" si="20"/>
        <v>-745</v>
      </c>
      <c r="AT33" s="9">
        <f t="shared" si="20"/>
        <v>-745</v>
      </c>
      <c r="AU33" s="9">
        <f t="shared" si="20"/>
        <v>-745</v>
      </c>
      <c r="AV33" s="9">
        <f t="shared" si="20"/>
        <v>-745</v>
      </c>
      <c r="AW33" s="9">
        <f t="shared" si="20"/>
        <v>-745</v>
      </c>
      <c r="AX33" s="9">
        <f t="shared" si="20"/>
        <v>-745</v>
      </c>
      <c r="AY33" s="9">
        <f t="shared" si="20"/>
        <v>-745</v>
      </c>
      <c r="AZ33" s="9">
        <f t="shared" si="20"/>
        <v>-745</v>
      </c>
      <c r="BA33" s="9">
        <f t="shared" si="20"/>
        <v>-745</v>
      </c>
      <c r="BB33" s="9">
        <f t="shared" si="20"/>
        <v>-745</v>
      </c>
      <c r="BC33" s="9">
        <f t="shared" si="20"/>
        <v>-745</v>
      </c>
      <c r="BD33" s="9">
        <f t="shared" si="20"/>
        <v>-745</v>
      </c>
      <c r="BE33" s="9">
        <f t="shared" si="20"/>
        <v>-745</v>
      </c>
      <c r="BF33" s="9">
        <f t="shared" si="20"/>
        <v>-745</v>
      </c>
      <c r="BG33" s="9">
        <f t="shared" si="20"/>
        <v>-745</v>
      </c>
      <c r="BH33" s="9">
        <f t="shared" si="20"/>
        <v>-745</v>
      </c>
      <c r="BI33" s="9">
        <f t="shared" si="20"/>
        <v>-745</v>
      </c>
      <c r="BJ33" s="9">
        <f t="shared" si="20"/>
        <v>-745</v>
      </c>
    </row>
    <row r="34" spans="2:62" x14ac:dyDescent="0.25">
      <c r="B34" s="7" t="s">
        <v>24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</row>
    <row r="35" spans="2:62" x14ac:dyDescent="0.25">
      <c r="B35" s="7" t="s">
        <v>25</v>
      </c>
      <c r="C35" s="9">
        <f>-AM_Fee_Pct*Overview!$L$10 / 12</f>
        <v>-823.33333333333337</v>
      </c>
      <c r="D35" s="9">
        <f>-AM_Fee_Pct*Overview!$L$10 / 12</f>
        <v>-823.33333333333337</v>
      </c>
      <c r="E35" s="9">
        <f>-AM_Fee_Pct*Overview!$L$10 / 12</f>
        <v>-823.33333333333337</v>
      </c>
      <c r="F35" s="9">
        <f>-AM_Fee_Pct*Overview!$L$10 / 12</f>
        <v>-823.33333333333337</v>
      </c>
      <c r="G35" s="9">
        <f>-AM_Fee_Pct*Overview!$L$10 / 12</f>
        <v>-823.33333333333337</v>
      </c>
      <c r="H35" s="9">
        <f>-AM_Fee_Pct*Overview!$L$10 / 12</f>
        <v>-823.33333333333337</v>
      </c>
      <c r="I35" s="9">
        <f>-AM_Fee_Pct*Overview!$L$10 / 12</f>
        <v>-823.33333333333337</v>
      </c>
      <c r="J35" s="9">
        <f>-AM_Fee_Pct*Overview!$L$10 / 12</f>
        <v>-823.33333333333337</v>
      </c>
      <c r="K35" s="9">
        <f>-AM_Fee_Pct*Overview!$L$10 / 12</f>
        <v>-823.33333333333337</v>
      </c>
      <c r="L35" s="9">
        <f>-AM_Fee_Pct*Overview!$L$10 / 12</f>
        <v>-823.33333333333337</v>
      </c>
      <c r="M35" s="9">
        <f>-AM_Fee_Pct*Overview!$L$10 / 12</f>
        <v>-823.33333333333337</v>
      </c>
      <c r="N35" s="9">
        <f>-AM_Fee_Pct*Overview!$L$10 / 12</f>
        <v>-823.33333333333337</v>
      </c>
      <c r="O35" s="9">
        <f>-AM_Fee_Pct*Overview!$L$10 / 12</f>
        <v>-823.33333333333337</v>
      </c>
      <c r="P35" s="9">
        <f>-AM_Fee_Pct*Overview!$L$10 / 12</f>
        <v>-823.33333333333337</v>
      </c>
      <c r="Q35" s="9">
        <f>-AM_Fee_Pct*Overview!$L$10 / 12</f>
        <v>-823.33333333333337</v>
      </c>
      <c r="R35" s="9">
        <f>-AM_Fee_Pct*Overview!$L$10 / 12</f>
        <v>-823.33333333333337</v>
      </c>
      <c r="S35" s="9">
        <f>-AM_Fee_Pct*Overview!$L$10 / 12</f>
        <v>-823.33333333333337</v>
      </c>
      <c r="T35" s="9">
        <f>-AM_Fee_Pct*Overview!$L$10 / 12</f>
        <v>-823.33333333333337</v>
      </c>
      <c r="U35" s="9">
        <f>-AM_Fee_Pct*Overview!$L$10 / 12</f>
        <v>-823.33333333333337</v>
      </c>
      <c r="V35" s="9">
        <f>-AM_Fee_Pct*Overview!$L$10 / 12</f>
        <v>-823.33333333333337</v>
      </c>
      <c r="W35" s="9">
        <f>-AM_Fee_Pct*Overview!$L$10 / 12</f>
        <v>-823.33333333333337</v>
      </c>
      <c r="X35" s="9">
        <f>-AM_Fee_Pct*Overview!$L$10 / 12</f>
        <v>-823.33333333333337</v>
      </c>
      <c r="Y35" s="9">
        <f>-AM_Fee_Pct*Overview!$L$10 / 12</f>
        <v>-823.33333333333337</v>
      </c>
      <c r="Z35" s="9">
        <f>-AM_Fee_Pct*Overview!$L$10 / 12</f>
        <v>-823.33333333333337</v>
      </c>
      <c r="AA35" s="9">
        <f>-AM_Fee_Pct*Overview!$L$10 / 12</f>
        <v>-823.33333333333337</v>
      </c>
      <c r="AB35" s="9">
        <f>-AM_Fee_Pct*Overview!$L$10 / 12</f>
        <v>-823.33333333333337</v>
      </c>
      <c r="AC35" s="9">
        <f>-AM_Fee_Pct*Overview!$L$10 / 12</f>
        <v>-823.33333333333337</v>
      </c>
      <c r="AD35" s="9">
        <f>-AM_Fee_Pct*Overview!$L$10 / 12</f>
        <v>-823.33333333333337</v>
      </c>
      <c r="AE35" s="9">
        <f>-AM_Fee_Pct*Overview!$L$10 / 12</f>
        <v>-823.33333333333337</v>
      </c>
      <c r="AF35" s="9">
        <f>-AM_Fee_Pct*Overview!$L$10 / 12</f>
        <v>-823.33333333333337</v>
      </c>
      <c r="AG35" s="9">
        <f>-AM_Fee_Pct*Overview!$L$10 / 12</f>
        <v>-823.33333333333337</v>
      </c>
      <c r="AH35" s="9">
        <f>-AM_Fee_Pct*Overview!$L$10 / 12</f>
        <v>-823.33333333333337</v>
      </c>
      <c r="AI35" s="9">
        <f>-AM_Fee_Pct*Overview!$L$10 / 12</f>
        <v>-823.33333333333337</v>
      </c>
      <c r="AJ35" s="9">
        <f>-AM_Fee_Pct*Overview!$L$10 / 12</f>
        <v>-823.33333333333337</v>
      </c>
      <c r="AK35" s="9">
        <f>-AM_Fee_Pct*Overview!$L$10 / 12</f>
        <v>-823.33333333333337</v>
      </c>
      <c r="AL35" s="9">
        <f>-AM_Fee_Pct*Overview!$L$10 / 12</f>
        <v>-823.33333333333337</v>
      </c>
      <c r="AM35" s="9">
        <f>-AM_Fee_Pct*Overview!$L$10 / 12</f>
        <v>-823.33333333333337</v>
      </c>
      <c r="AN35" s="9">
        <f>-AM_Fee_Pct*Overview!$L$10 / 12</f>
        <v>-823.33333333333337</v>
      </c>
      <c r="AO35" s="9">
        <f>-AM_Fee_Pct*Overview!$L$10 / 12</f>
        <v>-823.33333333333337</v>
      </c>
      <c r="AP35" s="9">
        <f>-AM_Fee_Pct*Overview!$L$10 / 12</f>
        <v>-823.33333333333337</v>
      </c>
      <c r="AQ35" s="9">
        <f>-AM_Fee_Pct*Overview!$L$10 / 12</f>
        <v>-823.33333333333337</v>
      </c>
      <c r="AR35" s="9">
        <f>-AM_Fee_Pct*Overview!$L$10 / 12</f>
        <v>-823.33333333333337</v>
      </c>
      <c r="AS35" s="9">
        <f>-AM_Fee_Pct*Overview!$L$10 / 12</f>
        <v>-823.33333333333337</v>
      </c>
      <c r="AT35" s="9">
        <f>-AM_Fee_Pct*Overview!$L$10 / 12</f>
        <v>-823.33333333333337</v>
      </c>
      <c r="AU35" s="9">
        <f>-AM_Fee_Pct*Overview!$L$10 / 12</f>
        <v>-823.33333333333337</v>
      </c>
      <c r="AV35" s="9">
        <f>-AM_Fee_Pct*Overview!$L$10 / 12</f>
        <v>-823.33333333333337</v>
      </c>
      <c r="AW35" s="9">
        <f>-AM_Fee_Pct*Overview!$L$10 / 12</f>
        <v>-823.33333333333337</v>
      </c>
      <c r="AX35" s="9">
        <f>-AM_Fee_Pct*Overview!$L$10 / 12</f>
        <v>-823.33333333333337</v>
      </c>
      <c r="AY35" s="9">
        <f>-AM_Fee_Pct*Overview!$L$10 / 12</f>
        <v>-823.33333333333337</v>
      </c>
      <c r="AZ35" s="9">
        <f>-AM_Fee_Pct*Overview!$L$10 / 12</f>
        <v>-823.33333333333337</v>
      </c>
      <c r="BA35" s="9">
        <f>-AM_Fee_Pct*Overview!$L$10 / 12</f>
        <v>-823.33333333333337</v>
      </c>
      <c r="BB35" s="9">
        <f>-AM_Fee_Pct*Overview!$L$10 / 12</f>
        <v>-823.33333333333337</v>
      </c>
      <c r="BC35" s="9">
        <f>-AM_Fee_Pct*Overview!$L$10 / 12</f>
        <v>-823.33333333333337</v>
      </c>
      <c r="BD35" s="9">
        <f>-AM_Fee_Pct*Overview!$L$10 / 12</f>
        <v>-823.33333333333337</v>
      </c>
      <c r="BE35" s="9">
        <f>-AM_Fee_Pct*Overview!$L$10 / 12</f>
        <v>-823.33333333333337</v>
      </c>
      <c r="BF35" s="9">
        <f>-AM_Fee_Pct*Overview!$L$10 / 12</f>
        <v>-823.33333333333337</v>
      </c>
      <c r="BG35" s="9">
        <f>-AM_Fee_Pct*Overview!$L$10 / 12</f>
        <v>-823.33333333333337</v>
      </c>
      <c r="BH35" s="9">
        <f>-AM_Fee_Pct*Overview!$L$10 / 12</f>
        <v>-823.33333333333337</v>
      </c>
      <c r="BI35" s="9">
        <f>-AM_Fee_Pct*Overview!$L$10 / 12</f>
        <v>-823.33333333333337</v>
      </c>
      <c r="BJ35" s="9">
        <f>-AM_Fee_Pct*Overview!$L$10 / 12</f>
        <v>-823.33333333333337</v>
      </c>
    </row>
    <row r="36" spans="2:62" x14ac:dyDescent="0.25">
      <c r="B36" s="7" t="s">
        <v>26</v>
      </c>
      <c r="C36" s="9">
        <f t="shared" ref="C36:AH36" si="21">-Legal_Monthly</f>
        <v>-500</v>
      </c>
      <c r="D36" s="9">
        <f t="shared" si="21"/>
        <v>-500</v>
      </c>
      <c r="E36" s="9">
        <f t="shared" si="21"/>
        <v>-500</v>
      </c>
      <c r="F36" s="9">
        <f t="shared" si="21"/>
        <v>-500</v>
      </c>
      <c r="G36" s="9">
        <f t="shared" si="21"/>
        <v>-500</v>
      </c>
      <c r="H36" s="9">
        <f t="shared" si="21"/>
        <v>-500</v>
      </c>
      <c r="I36" s="9">
        <f t="shared" si="21"/>
        <v>-500</v>
      </c>
      <c r="J36" s="9">
        <f t="shared" si="21"/>
        <v>-500</v>
      </c>
      <c r="K36" s="9">
        <f t="shared" si="21"/>
        <v>-500</v>
      </c>
      <c r="L36" s="9">
        <f t="shared" si="21"/>
        <v>-500</v>
      </c>
      <c r="M36" s="9">
        <f t="shared" si="21"/>
        <v>-500</v>
      </c>
      <c r="N36" s="9">
        <f t="shared" si="21"/>
        <v>-500</v>
      </c>
      <c r="O36" s="9">
        <f t="shared" si="21"/>
        <v>-500</v>
      </c>
      <c r="P36" s="9">
        <f t="shared" si="21"/>
        <v>-500</v>
      </c>
      <c r="Q36" s="9">
        <f t="shared" si="21"/>
        <v>-500</v>
      </c>
      <c r="R36" s="9">
        <f t="shared" si="21"/>
        <v>-500</v>
      </c>
      <c r="S36" s="9">
        <f t="shared" si="21"/>
        <v>-500</v>
      </c>
      <c r="T36" s="9">
        <f t="shared" si="21"/>
        <v>-500</v>
      </c>
      <c r="U36" s="9">
        <f t="shared" si="21"/>
        <v>-500</v>
      </c>
      <c r="V36" s="9">
        <f t="shared" si="21"/>
        <v>-500</v>
      </c>
      <c r="W36" s="9">
        <f t="shared" si="21"/>
        <v>-500</v>
      </c>
      <c r="X36" s="9">
        <f t="shared" si="21"/>
        <v>-500</v>
      </c>
      <c r="Y36" s="9">
        <f t="shared" si="21"/>
        <v>-500</v>
      </c>
      <c r="Z36" s="9">
        <f t="shared" si="21"/>
        <v>-500</v>
      </c>
      <c r="AA36" s="9">
        <f t="shared" si="21"/>
        <v>-500</v>
      </c>
      <c r="AB36" s="9">
        <f t="shared" si="21"/>
        <v>-500</v>
      </c>
      <c r="AC36" s="9">
        <f t="shared" si="21"/>
        <v>-500</v>
      </c>
      <c r="AD36" s="9">
        <f t="shared" si="21"/>
        <v>-500</v>
      </c>
      <c r="AE36" s="9">
        <f t="shared" si="21"/>
        <v>-500</v>
      </c>
      <c r="AF36" s="9">
        <f t="shared" si="21"/>
        <v>-500</v>
      </c>
      <c r="AG36" s="9">
        <f t="shared" si="21"/>
        <v>-500</v>
      </c>
      <c r="AH36" s="9">
        <f t="shared" si="21"/>
        <v>-500</v>
      </c>
      <c r="AI36" s="9">
        <f t="shared" ref="AI36:BJ36" si="22">-Legal_Monthly</f>
        <v>-500</v>
      </c>
      <c r="AJ36" s="9">
        <f t="shared" si="22"/>
        <v>-500</v>
      </c>
      <c r="AK36" s="9">
        <f t="shared" si="22"/>
        <v>-500</v>
      </c>
      <c r="AL36" s="9">
        <f t="shared" si="22"/>
        <v>-500</v>
      </c>
      <c r="AM36" s="9">
        <f t="shared" si="22"/>
        <v>-500</v>
      </c>
      <c r="AN36" s="9">
        <f t="shared" si="22"/>
        <v>-500</v>
      </c>
      <c r="AO36" s="9">
        <f t="shared" si="22"/>
        <v>-500</v>
      </c>
      <c r="AP36" s="9">
        <f t="shared" si="22"/>
        <v>-500</v>
      </c>
      <c r="AQ36" s="9">
        <f t="shared" si="22"/>
        <v>-500</v>
      </c>
      <c r="AR36" s="9">
        <f t="shared" si="22"/>
        <v>-500</v>
      </c>
      <c r="AS36" s="9">
        <f t="shared" si="22"/>
        <v>-500</v>
      </c>
      <c r="AT36" s="9">
        <f t="shared" si="22"/>
        <v>-500</v>
      </c>
      <c r="AU36" s="9">
        <f t="shared" si="22"/>
        <v>-500</v>
      </c>
      <c r="AV36" s="9">
        <f t="shared" si="22"/>
        <v>-500</v>
      </c>
      <c r="AW36" s="9">
        <f t="shared" si="22"/>
        <v>-500</v>
      </c>
      <c r="AX36" s="9">
        <f t="shared" si="22"/>
        <v>-500</v>
      </c>
      <c r="AY36" s="9">
        <f t="shared" si="22"/>
        <v>-500</v>
      </c>
      <c r="AZ36" s="9">
        <f t="shared" si="22"/>
        <v>-500</v>
      </c>
      <c r="BA36" s="9">
        <f t="shared" si="22"/>
        <v>-500</v>
      </c>
      <c r="BB36" s="9">
        <f t="shared" si="22"/>
        <v>-500</v>
      </c>
      <c r="BC36" s="9">
        <f t="shared" si="22"/>
        <v>-500</v>
      </c>
      <c r="BD36" s="9">
        <f t="shared" si="22"/>
        <v>-500</v>
      </c>
      <c r="BE36" s="9">
        <f t="shared" si="22"/>
        <v>-500</v>
      </c>
      <c r="BF36" s="9">
        <f t="shared" si="22"/>
        <v>-500</v>
      </c>
      <c r="BG36" s="9">
        <f t="shared" si="22"/>
        <v>-500</v>
      </c>
      <c r="BH36" s="9">
        <f t="shared" si="22"/>
        <v>-500</v>
      </c>
      <c r="BI36" s="9">
        <f t="shared" si="22"/>
        <v>-500</v>
      </c>
      <c r="BJ36" s="9">
        <f t="shared" si="22"/>
        <v>-500</v>
      </c>
    </row>
    <row r="37" spans="2:62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</row>
    <row r="38" spans="2:62" x14ac:dyDescent="0.25">
      <c r="B38" s="229" t="s">
        <v>27</v>
      </c>
      <c r="C38" s="230">
        <f t="shared" ref="C38:AH38" si="23">C29+C32+C33+C34+C35+C36</f>
        <v>-28753.500698918713</v>
      </c>
      <c r="D38" s="230">
        <f t="shared" si="23"/>
        <v>-28761.022208327639</v>
      </c>
      <c r="E38" s="230">
        <f t="shared" si="23"/>
        <v>-28768.556140120865</v>
      </c>
      <c r="F38" s="230">
        <f t="shared" si="23"/>
        <v>-28776.102514814967</v>
      </c>
      <c r="G38" s="230">
        <f t="shared" si="23"/>
        <v>-28783.661352960411</v>
      </c>
      <c r="H38" s="230">
        <f t="shared" si="23"/>
        <v>-89297.342901257609</v>
      </c>
      <c r="I38" s="230">
        <f t="shared" si="23"/>
        <v>-110851.42083333334</v>
      </c>
      <c r="J38" s="230">
        <f t="shared" si="23"/>
        <v>5635.5791666666637</v>
      </c>
      <c r="K38" s="230">
        <f t="shared" si="23"/>
        <v>5635.5791666666637</v>
      </c>
      <c r="L38" s="230">
        <f t="shared" si="23"/>
        <v>5635.5791666666673</v>
      </c>
      <c r="M38" s="230">
        <f t="shared" si="23"/>
        <v>5635.5791666666673</v>
      </c>
      <c r="N38" s="230">
        <f t="shared" si="23"/>
        <v>-9065.6677956977601</v>
      </c>
      <c r="O38" s="230">
        <f t="shared" si="23"/>
        <v>3067.0020083104996</v>
      </c>
      <c r="P38" s="230">
        <f t="shared" si="23"/>
        <v>3067.0020083104996</v>
      </c>
      <c r="Q38" s="230">
        <f t="shared" si="23"/>
        <v>3067.0020083104996</v>
      </c>
      <c r="R38" s="230">
        <f t="shared" si="23"/>
        <v>3067.0020083104978</v>
      </c>
      <c r="S38" s="230">
        <f t="shared" si="23"/>
        <v>3067.0020083104996</v>
      </c>
      <c r="T38" s="230">
        <f t="shared" si="23"/>
        <v>3067.0020083104996</v>
      </c>
      <c r="U38" s="230">
        <f t="shared" si="23"/>
        <v>3067.0020083104996</v>
      </c>
      <c r="V38" s="230">
        <f t="shared" si="23"/>
        <v>3067.0020083105014</v>
      </c>
      <c r="W38" s="230">
        <f t="shared" si="23"/>
        <v>3067.0020083104978</v>
      </c>
      <c r="X38" s="230">
        <f t="shared" si="23"/>
        <v>3067.0020083104978</v>
      </c>
      <c r="Y38" s="230">
        <f t="shared" si="23"/>
        <v>3067.0020083104996</v>
      </c>
      <c r="Z38" s="230">
        <f t="shared" si="23"/>
        <v>3067.002008310496</v>
      </c>
      <c r="AA38" s="230">
        <f t="shared" si="23"/>
        <v>3545.4906356309043</v>
      </c>
      <c r="AB38" s="230">
        <f t="shared" si="23"/>
        <v>3545.4906356309061</v>
      </c>
      <c r="AC38" s="230">
        <f t="shared" si="23"/>
        <v>3545.4906356309043</v>
      </c>
      <c r="AD38" s="230">
        <f t="shared" si="23"/>
        <v>3545.4906356309061</v>
      </c>
      <c r="AE38" s="230">
        <f t="shared" si="23"/>
        <v>3545.4906356309043</v>
      </c>
      <c r="AF38" s="230">
        <f t="shared" si="23"/>
        <v>3545.4906356309043</v>
      </c>
      <c r="AG38" s="230">
        <f t="shared" si="23"/>
        <v>3008.4290439427609</v>
      </c>
      <c r="AH38" s="230">
        <f t="shared" si="23"/>
        <v>3007.7405314235443</v>
      </c>
      <c r="AI38" s="230">
        <f t="shared" ref="AI38:BJ38" si="24">AI29+AI32+AI33+AI34+AI35+AI36</f>
        <v>3007.0508817699215</v>
      </c>
      <c r="AJ38" s="230">
        <f t="shared" si="24"/>
        <v>3006.3600931038295</v>
      </c>
      <c r="AK38" s="230">
        <f t="shared" si="24"/>
        <v>3005.6681635440896</v>
      </c>
      <c r="AL38" s="230">
        <f t="shared" si="24"/>
        <v>2658.9020714727999</v>
      </c>
      <c r="AM38" s="230">
        <f t="shared" si="24"/>
        <v>-19348.242403724955</v>
      </c>
      <c r="AN38" s="230">
        <f t="shared" si="24"/>
        <v>4073.6932081459863</v>
      </c>
      <c r="AO38" s="230">
        <f t="shared" si="24"/>
        <v>4073.3931152062696</v>
      </c>
      <c r="AP38" s="230">
        <f t="shared" si="24"/>
        <v>4073.0925266386539</v>
      </c>
      <c r="AQ38" s="230">
        <f t="shared" si="24"/>
        <v>4072.7914416245831</v>
      </c>
      <c r="AR38" s="230">
        <f t="shared" si="24"/>
        <v>-5926.4623484335871</v>
      </c>
      <c r="AS38" s="230">
        <f t="shared" si="24"/>
        <v>3367.6029727073005</v>
      </c>
      <c r="AT38" s="230">
        <f t="shared" si="24"/>
        <v>3366.769945805067</v>
      </c>
      <c r="AU38" s="230">
        <f t="shared" si="24"/>
        <v>3365.935543091166</v>
      </c>
      <c r="AV38" s="230">
        <f t="shared" si="24"/>
        <v>3365.099762293356</v>
      </c>
      <c r="AW38" s="230">
        <f t="shared" si="24"/>
        <v>3364.2626011355974</v>
      </c>
      <c r="AX38" s="230">
        <f t="shared" si="24"/>
        <v>-23306.261422823296</v>
      </c>
      <c r="AY38" s="230">
        <f t="shared" si="24"/>
        <v>5021.2900044468579</v>
      </c>
      <c r="AZ38" s="230">
        <f t="shared" si="24"/>
        <v>5021.2900044468524</v>
      </c>
      <c r="BA38" s="230">
        <f t="shared" si="24"/>
        <v>5021.2900044468597</v>
      </c>
      <c r="BB38" s="230">
        <f t="shared" si="24"/>
        <v>5021.2900044468543</v>
      </c>
      <c r="BC38" s="230">
        <f t="shared" si="24"/>
        <v>5021.2900044468543</v>
      </c>
      <c r="BD38" s="230">
        <f t="shared" si="24"/>
        <v>1814.7714606632931</v>
      </c>
      <c r="BE38" s="230">
        <f t="shared" si="24"/>
        <v>1813.3944217112044</v>
      </c>
      <c r="BF38" s="230">
        <f t="shared" si="24"/>
        <v>1812.0151084673385</v>
      </c>
      <c r="BG38" s="230">
        <f t="shared" si="24"/>
        <v>1810.6335171754968</v>
      </c>
      <c r="BH38" s="230">
        <f t="shared" si="24"/>
        <v>1809.249644073318</v>
      </c>
      <c r="BI38" s="230">
        <f t="shared" si="24"/>
        <v>1807.8634853922017</v>
      </c>
      <c r="BJ38" s="230">
        <f t="shared" si="24"/>
        <v>-41711.677739821105</v>
      </c>
    </row>
    <row r="40" spans="2:62" x14ac:dyDescent="0.25">
      <c r="B40" s="7" t="s">
        <v>28</v>
      </c>
      <c r="C40" s="9">
        <f>Debt!C24</f>
        <v>0</v>
      </c>
      <c r="D40" s="9">
        <f>Debt!D24</f>
        <v>0</v>
      </c>
      <c r="E40" s="9">
        <f>Debt!E24</f>
        <v>0</v>
      </c>
      <c r="F40" s="9">
        <f>Debt!F24</f>
        <v>0</v>
      </c>
      <c r="G40" s="9">
        <f>Debt!G24</f>
        <v>0</v>
      </c>
      <c r="H40" s="9">
        <f>Debt!H24</f>
        <v>0</v>
      </c>
      <c r="I40" s="9">
        <f>Debt!I24</f>
        <v>0</v>
      </c>
      <c r="J40" s="9">
        <f>Debt!J24</f>
        <v>0</v>
      </c>
      <c r="K40" s="9">
        <f>Debt!K24</f>
        <v>0</v>
      </c>
      <c r="L40" s="9">
        <f>Debt!L24</f>
        <v>0</v>
      </c>
      <c r="M40" s="9">
        <f>Debt!M24</f>
        <v>0</v>
      </c>
      <c r="N40" s="9">
        <f>Debt!N24</f>
        <v>593232.59624999971</v>
      </c>
      <c r="O40" s="9">
        <f>Debt!O24</f>
        <v>0</v>
      </c>
      <c r="P40" s="9">
        <f>Debt!P24</f>
        <v>0</v>
      </c>
      <c r="Q40" s="9">
        <f>Debt!Q24</f>
        <v>0</v>
      </c>
      <c r="R40" s="9">
        <f>Debt!R24</f>
        <v>0</v>
      </c>
      <c r="S40" s="9">
        <f>Debt!S24</f>
        <v>0</v>
      </c>
      <c r="T40" s="9">
        <f>Debt!T24</f>
        <v>0</v>
      </c>
      <c r="U40" s="9">
        <f>Debt!U24</f>
        <v>0</v>
      </c>
      <c r="V40" s="9">
        <f>Debt!V24</f>
        <v>0</v>
      </c>
      <c r="W40" s="9">
        <f>Debt!W24</f>
        <v>0</v>
      </c>
      <c r="X40" s="9">
        <f>Debt!X24</f>
        <v>0</v>
      </c>
      <c r="Y40" s="9">
        <f>Debt!Y24</f>
        <v>0</v>
      </c>
      <c r="Z40" s="9">
        <f>Debt!Z24</f>
        <v>0</v>
      </c>
      <c r="AA40" s="9">
        <f>Debt!AA24</f>
        <v>0</v>
      </c>
      <c r="AB40" s="9">
        <f>Debt!AB24</f>
        <v>0</v>
      </c>
      <c r="AC40" s="9">
        <f>Debt!AC24</f>
        <v>0</v>
      </c>
      <c r="AD40" s="9">
        <f>Debt!AD24</f>
        <v>0</v>
      </c>
      <c r="AE40" s="9">
        <f>Debt!AE24</f>
        <v>0</v>
      </c>
      <c r="AF40" s="9">
        <f>Debt!AF24</f>
        <v>0</v>
      </c>
      <c r="AG40" s="9">
        <f>Debt!AG24</f>
        <v>0</v>
      </c>
      <c r="AH40" s="9">
        <f>Debt!AH24</f>
        <v>0</v>
      </c>
      <c r="AI40" s="9">
        <f>Debt!AI24</f>
        <v>0</v>
      </c>
      <c r="AJ40" s="9">
        <f>Debt!AJ24</f>
        <v>0</v>
      </c>
      <c r="AK40" s="9">
        <f>Debt!AK24</f>
        <v>0</v>
      </c>
      <c r="AL40" s="9">
        <f>Debt!AL24</f>
        <v>0</v>
      </c>
      <c r="AM40" s="9">
        <f>Debt!AM24</f>
        <v>0</v>
      </c>
      <c r="AN40" s="9">
        <f>Debt!AN24</f>
        <v>0</v>
      </c>
      <c r="AO40" s="9">
        <f>Debt!AO24</f>
        <v>0</v>
      </c>
      <c r="AP40" s="9">
        <f>Debt!AP24</f>
        <v>0</v>
      </c>
      <c r="AQ40" s="9">
        <f>Debt!AQ24</f>
        <v>0</v>
      </c>
      <c r="AR40" s="9">
        <f>Debt!AR24</f>
        <v>0</v>
      </c>
      <c r="AS40" s="9">
        <f>Debt!AS24</f>
        <v>0</v>
      </c>
      <c r="AT40" s="9">
        <f>Debt!AT24</f>
        <v>0</v>
      </c>
      <c r="AU40" s="9">
        <f>Debt!AU24</f>
        <v>0</v>
      </c>
      <c r="AV40" s="9">
        <f>Debt!AV24</f>
        <v>0</v>
      </c>
      <c r="AW40" s="9">
        <f>Debt!AW24</f>
        <v>0</v>
      </c>
      <c r="AX40" s="9">
        <f>Debt!AX24</f>
        <v>0</v>
      </c>
      <c r="AY40" s="9">
        <f>Debt!AY24</f>
        <v>0</v>
      </c>
      <c r="AZ40" s="9">
        <f>Debt!AZ24</f>
        <v>0</v>
      </c>
      <c r="BA40" s="9">
        <f>Debt!BA24</f>
        <v>0</v>
      </c>
      <c r="BB40" s="9">
        <f>Debt!BB24</f>
        <v>0</v>
      </c>
      <c r="BC40" s="9">
        <f>Debt!BC24</f>
        <v>0</v>
      </c>
      <c r="BD40" s="9">
        <f>Debt!BD24</f>
        <v>0</v>
      </c>
      <c r="BE40" s="9">
        <f>Debt!BE24</f>
        <v>0</v>
      </c>
      <c r="BF40" s="9">
        <f>Debt!BF24</f>
        <v>0</v>
      </c>
      <c r="BG40" s="9">
        <f>Debt!BG24</f>
        <v>0</v>
      </c>
      <c r="BH40" s="9">
        <f>Debt!BH24</f>
        <v>0</v>
      </c>
      <c r="BI40" s="9">
        <f>Debt!BI24</f>
        <v>0</v>
      </c>
      <c r="BJ40" s="9">
        <f>Debt!BJ24</f>
        <v>0</v>
      </c>
    </row>
    <row r="42" spans="2:62" x14ac:dyDescent="0.25">
      <c r="B42" s="6" t="s">
        <v>29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</row>
    <row r="43" spans="2:62" x14ac:dyDescent="0.25">
      <c r="B43" s="7" t="s">
        <v>30</v>
      </c>
      <c r="C43" s="9">
        <f t="shared" ref="C43:AH43" si="25">IF(C2=Exit_Month,C22*12,0)</f>
        <v>0</v>
      </c>
      <c r="D43" s="9">
        <f t="shared" si="25"/>
        <v>0</v>
      </c>
      <c r="E43" s="9">
        <f t="shared" si="25"/>
        <v>0</v>
      </c>
      <c r="F43" s="9">
        <f t="shared" si="25"/>
        <v>0</v>
      </c>
      <c r="G43" s="9">
        <f t="shared" si="25"/>
        <v>0</v>
      </c>
      <c r="H43" s="9">
        <f t="shared" si="25"/>
        <v>0</v>
      </c>
      <c r="I43" s="9">
        <f t="shared" si="25"/>
        <v>0</v>
      </c>
      <c r="J43" s="9">
        <f t="shared" si="25"/>
        <v>0</v>
      </c>
      <c r="K43" s="9">
        <f t="shared" si="25"/>
        <v>0</v>
      </c>
      <c r="L43" s="9">
        <f t="shared" si="25"/>
        <v>0</v>
      </c>
      <c r="M43" s="9">
        <f t="shared" si="25"/>
        <v>0</v>
      </c>
      <c r="N43" s="9">
        <f t="shared" si="25"/>
        <v>0</v>
      </c>
      <c r="O43" s="9">
        <f t="shared" si="25"/>
        <v>0</v>
      </c>
      <c r="P43" s="9">
        <f t="shared" si="25"/>
        <v>0</v>
      </c>
      <c r="Q43" s="9">
        <f t="shared" si="25"/>
        <v>0</v>
      </c>
      <c r="R43" s="9">
        <f t="shared" si="25"/>
        <v>0</v>
      </c>
      <c r="S43" s="9">
        <f t="shared" si="25"/>
        <v>0</v>
      </c>
      <c r="T43" s="9">
        <f t="shared" si="25"/>
        <v>0</v>
      </c>
      <c r="U43" s="9">
        <f t="shared" si="25"/>
        <v>0</v>
      </c>
      <c r="V43" s="9">
        <f t="shared" si="25"/>
        <v>0</v>
      </c>
      <c r="W43" s="9">
        <f t="shared" si="25"/>
        <v>0</v>
      </c>
      <c r="X43" s="9">
        <f t="shared" si="25"/>
        <v>0</v>
      </c>
      <c r="Y43" s="9">
        <f t="shared" si="25"/>
        <v>0</v>
      </c>
      <c r="Z43" s="9">
        <f t="shared" si="25"/>
        <v>0</v>
      </c>
      <c r="AA43" s="9">
        <f t="shared" si="25"/>
        <v>0</v>
      </c>
      <c r="AB43" s="9">
        <f t="shared" si="25"/>
        <v>0</v>
      </c>
      <c r="AC43" s="9">
        <f t="shared" si="25"/>
        <v>0</v>
      </c>
      <c r="AD43" s="9">
        <f t="shared" si="25"/>
        <v>0</v>
      </c>
      <c r="AE43" s="9">
        <f t="shared" si="25"/>
        <v>0</v>
      </c>
      <c r="AF43" s="9">
        <f t="shared" si="25"/>
        <v>0</v>
      </c>
      <c r="AG43" s="9">
        <f t="shared" si="25"/>
        <v>0</v>
      </c>
      <c r="AH43" s="9">
        <f t="shared" si="25"/>
        <v>0</v>
      </c>
      <c r="AI43" s="9">
        <f t="shared" ref="AI43:BJ43" si="26">IF(AI2=Exit_Month,AI22*12,0)</f>
        <v>0</v>
      </c>
      <c r="AJ43" s="9">
        <f t="shared" si="26"/>
        <v>0</v>
      </c>
      <c r="AK43" s="9">
        <f t="shared" si="26"/>
        <v>0</v>
      </c>
      <c r="AL43" s="9">
        <f t="shared" si="26"/>
        <v>0</v>
      </c>
      <c r="AM43" s="9">
        <f t="shared" si="26"/>
        <v>0</v>
      </c>
      <c r="AN43" s="9">
        <f t="shared" si="26"/>
        <v>0</v>
      </c>
      <c r="AO43" s="9">
        <f t="shared" si="26"/>
        <v>0</v>
      </c>
      <c r="AP43" s="9">
        <f t="shared" si="26"/>
        <v>0</v>
      </c>
      <c r="AQ43" s="9">
        <f t="shared" si="26"/>
        <v>0</v>
      </c>
      <c r="AR43" s="9">
        <f t="shared" si="26"/>
        <v>0</v>
      </c>
      <c r="AS43" s="9">
        <f t="shared" si="26"/>
        <v>0</v>
      </c>
      <c r="AT43" s="9">
        <f t="shared" si="26"/>
        <v>0</v>
      </c>
      <c r="AU43" s="9">
        <f t="shared" si="26"/>
        <v>0</v>
      </c>
      <c r="AV43" s="9">
        <f t="shared" si="26"/>
        <v>0</v>
      </c>
      <c r="AW43" s="9">
        <f t="shared" si="26"/>
        <v>0</v>
      </c>
      <c r="AX43" s="9">
        <f t="shared" si="26"/>
        <v>0</v>
      </c>
      <c r="AY43" s="9">
        <f t="shared" si="26"/>
        <v>0</v>
      </c>
      <c r="AZ43" s="9">
        <f t="shared" si="26"/>
        <v>0</v>
      </c>
      <c r="BA43" s="9">
        <f t="shared" si="26"/>
        <v>0</v>
      </c>
      <c r="BB43" s="9">
        <f t="shared" si="26"/>
        <v>0</v>
      </c>
      <c r="BC43" s="9">
        <f t="shared" si="26"/>
        <v>0</v>
      </c>
      <c r="BD43" s="9">
        <f t="shared" si="26"/>
        <v>0</v>
      </c>
      <c r="BE43" s="9">
        <f t="shared" si="26"/>
        <v>0</v>
      </c>
      <c r="BF43" s="9">
        <f t="shared" si="26"/>
        <v>0</v>
      </c>
      <c r="BG43" s="9">
        <f t="shared" si="26"/>
        <v>0</v>
      </c>
      <c r="BH43" s="9">
        <f t="shared" si="26"/>
        <v>0</v>
      </c>
      <c r="BI43" s="9">
        <f t="shared" si="26"/>
        <v>0</v>
      </c>
      <c r="BJ43" s="9">
        <f t="shared" si="26"/>
        <v>245102.06175991995</v>
      </c>
    </row>
    <row r="44" spans="2:62" x14ac:dyDescent="0.25">
      <c r="B44" s="7" t="s">
        <v>31</v>
      </c>
      <c r="C44" s="8">
        <f t="shared" ref="C44:AH44" si="27">IF(C2=Exit_Month,C43/Exit_Cap,0)</f>
        <v>0</v>
      </c>
      <c r="D44" s="8">
        <f t="shared" si="27"/>
        <v>0</v>
      </c>
      <c r="E44" s="8">
        <f t="shared" si="27"/>
        <v>0</v>
      </c>
      <c r="F44" s="8">
        <f t="shared" si="27"/>
        <v>0</v>
      </c>
      <c r="G44" s="8">
        <f t="shared" si="27"/>
        <v>0</v>
      </c>
      <c r="H44" s="8">
        <f t="shared" si="27"/>
        <v>0</v>
      </c>
      <c r="I44" s="8">
        <f t="shared" si="27"/>
        <v>0</v>
      </c>
      <c r="J44" s="8">
        <f t="shared" si="27"/>
        <v>0</v>
      </c>
      <c r="K44" s="8">
        <f t="shared" si="27"/>
        <v>0</v>
      </c>
      <c r="L44" s="8">
        <f t="shared" si="27"/>
        <v>0</v>
      </c>
      <c r="M44" s="8">
        <f t="shared" si="27"/>
        <v>0</v>
      </c>
      <c r="N44" s="8">
        <f t="shared" si="27"/>
        <v>0</v>
      </c>
      <c r="O44" s="8">
        <f t="shared" si="27"/>
        <v>0</v>
      </c>
      <c r="P44" s="8">
        <f t="shared" si="27"/>
        <v>0</v>
      </c>
      <c r="Q44" s="8">
        <f t="shared" si="27"/>
        <v>0</v>
      </c>
      <c r="R44" s="8">
        <f t="shared" si="27"/>
        <v>0</v>
      </c>
      <c r="S44" s="8">
        <f t="shared" si="27"/>
        <v>0</v>
      </c>
      <c r="T44" s="8">
        <f t="shared" si="27"/>
        <v>0</v>
      </c>
      <c r="U44" s="8">
        <f t="shared" si="27"/>
        <v>0</v>
      </c>
      <c r="V44" s="8">
        <f t="shared" si="27"/>
        <v>0</v>
      </c>
      <c r="W44" s="8">
        <f t="shared" si="27"/>
        <v>0</v>
      </c>
      <c r="X44" s="8">
        <f t="shared" si="27"/>
        <v>0</v>
      </c>
      <c r="Y44" s="8">
        <f t="shared" si="27"/>
        <v>0</v>
      </c>
      <c r="Z44" s="8">
        <f t="shared" si="27"/>
        <v>0</v>
      </c>
      <c r="AA44" s="8">
        <f t="shared" si="27"/>
        <v>0</v>
      </c>
      <c r="AB44" s="8">
        <f t="shared" si="27"/>
        <v>0</v>
      </c>
      <c r="AC44" s="8">
        <f t="shared" si="27"/>
        <v>0</v>
      </c>
      <c r="AD44" s="8">
        <f t="shared" si="27"/>
        <v>0</v>
      </c>
      <c r="AE44" s="8">
        <f t="shared" si="27"/>
        <v>0</v>
      </c>
      <c r="AF44" s="8">
        <f t="shared" si="27"/>
        <v>0</v>
      </c>
      <c r="AG44" s="8">
        <f t="shared" si="27"/>
        <v>0</v>
      </c>
      <c r="AH44" s="8">
        <f t="shared" si="27"/>
        <v>0</v>
      </c>
      <c r="AI44" s="8">
        <f t="shared" ref="AI44:BJ44" si="28">IF(AI2=Exit_Month,AI43/Exit_Cap,0)</f>
        <v>0</v>
      </c>
      <c r="AJ44" s="8">
        <f t="shared" si="28"/>
        <v>0</v>
      </c>
      <c r="AK44" s="8">
        <f t="shared" si="28"/>
        <v>0</v>
      </c>
      <c r="AL44" s="8">
        <f t="shared" si="28"/>
        <v>0</v>
      </c>
      <c r="AM44" s="8">
        <f t="shared" si="28"/>
        <v>0</v>
      </c>
      <c r="AN44" s="8">
        <f t="shared" si="28"/>
        <v>0</v>
      </c>
      <c r="AO44" s="8">
        <f t="shared" si="28"/>
        <v>0</v>
      </c>
      <c r="AP44" s="8">
        <f t="shared" si="28"/>
        <v>0</v>
      </c>
      <c r="AQ44" s="8">
        <f t="shared" si="28"/>
        <v>0</v>
      </c>
      <c r="AR44" s="8">
        <f t="shared" si="28"/>
        <v>0</v>
      </c>
      <c r="AS44" s="8">
        <f t="shared" si="28"/>
        <v>0</v>
      </c>
      <c r="AT44" s="8">
        <f t="shared" si="28"/>
        <v>0</v>
      </c>
      <c r="AU44" s="8">
        <f t="shared" si="28"/>
        <v>0</v>
      </c>
      <c r="AV44" s="8">
        <f t="shared" si="28"/>
        <v>0</v>
      </c>
      <c r="AW44" s="8">
        <f t="shared" si="28"/>
        <v>0</v>
      </c>
      <c r="AX44" s="8">
        <f t="shared" si="28"/>
        <v>0</v>
      </c>
      <c r="AY44" s="8">
        <f t="shared" si="28"/>
        <v>0</v>
      </c>
      <c r="AZ44" s="8">
        <f t="shared" si="28"/>
        <v>0</v>
      </c>
      <c r="BA44" s="8">
        <f t="shared" si="28"/>
        <v>0</v>
      </c>
      <c r="BB44" s="8">
        <f t="shared" si="28"/>
        <v>0</v>
      </c>
      <c r="BC44" s="8">
        <f t="shared" si="28"/>
        <v>0</v>
      </c>
      <c r="BD44" s="8">
        <f t="shared" si="28"/>
        <v>0</v>
      </c>
      <c r="BE44" s="8">
        <f t="shared" si="28"/>
        <v>0</v>
      </c>
      <c r="BF44" s="8">
        <f t="shared" si="28"/>
        <v>0</v>
      </c>
      <c r="BG44" s="8">
        <f t="shared" si="28"/>
        <v>0</v>
      </c>
      <c r="BH44" s="8">
        <f t="shared" si="28"/>
        <v>0</v>
      </c>
      <c r="BI44" s="8">
        <f t="shared" si="28"/>
        <v>0</v>
      </c>
      <c r="BJ44" s="8">
        <f t="shared" si="28"/>
        <v>3063775.7719989992</v>
      </c>
    </row>
    <row r="45" spans="2:62" x14ac:dyDescent="0.25">
      <c r="B45" s="7" t="s">
        <v>32</v>
      </c>
      <c r="C45" s="9">
        <f t="shared" ref="C45:AH45" si="29">IF(C2=Exit_Month,-Selling_Cost_Pct*C44,0)</f>
        <v>0</v>
      </c>
      <c r="D45" s="9">
        <f t="shared" si="29"/>
        <v>0</v>
      </c>
      <c r="E45" s="9">
        <f t="shared" si="29"/>
        <v>0</v>
      </c>
      <c r="F45" s="9">
        <f t="shared" si="29"/>
        <v>0</v>
      </c>
      <c r="G45" s="9">
        <f t="shared" si="29"/>
        <v>0</v>
      </c>
      <c r="H45" s="9">
        <f t="shared" si="29"/>
        <v>0</v>
      </c>
      <c r="I45" s="9">
        <f t="shared" si="29"/>
        <v>0</v>
      </c>
      <c r="J45" s="9">
        <f t="shared" si="29"/>
        <v>0</v>
      </c>
      <c r="K45" s="9">
        <f t="shared" si="29"/>
        <v>0</v>
      </c>
      <c r="L45" s="9">
        <f t="shared" si="29"/>
        <v>0</v>
      </c>
      <c r="M45" s="9">
        <f t="shared" si="29"/>
        <v>0</v>
      </c>
      <c r="N45" s="9">
        <f t="shared" si="29"/>
        <v>0</v>
      </c>
      <c r="O45" s="9">
        <f t="shared" si="29"/>
        <v>0</v>
      </c>
      <c r="P45" s="9">
        <f t="shared" si="29"/>
        <v>0</v>
      </c>
      <c r="Q45" s="9">
        <f t="shared" si="29"/>
        <v>0</v>
      </c>
      <c r="R45" s="9">
        <f t="shared" si="29"/>
        <v>0</v>
      </c>
      <c r="S45" s="9">
        <f t="shared" si="29"/>
        <v>0</v>
      </c>
      <c r="T45" s="9">
        <f t="shared" si="29"/>
        <v>0</v>
      </c>
      <c r="U45" s="9">
        <f t="shared" si="29"/>
        <v>0</v>
      </c>
      <c r="V45" s="9">
        <f t="shared" si="29"/>
        <v>0</v>
      </c>
      <c r="W45" s="9">
        <f t="shared" si="29"/>
        <v>0</v>
      </c>
      <c r="X45" s="9">
        <f t="shared" si="29"/>
        <v>0</v>
      </c>
      <c r="Y45" s="9">
        <f t="shared" si="29"/>
        <v>0</v>
      </c>
      <c r="Z45" s="9">
        <f t="shared" si="29"/>
        <v>0</v>
      </c>
      <c r="AA45" s="9">
        <f t="shared" si="29"/>
        <v>0</v>
      </c>
      <c r="AB45" s="9">
        <f t="shared" si="29"/>
        <v>0</v>
      </c>
      <c r="AC45" s="9">
        <f t="shared" si="29"/>
        <v>0</v>
      </c>
      <c r="AD45" s="9">
        <f t="shared" si="29"/>
        <v>0</v>
      </c>
      <c r="AE45" s="9">
        <f t="shared" si="29"/>
        <v>0</v>
      </c>
      <c r="AF45" s="9">
        <f t="shared" si="29"/>
        <v>0</v>
      </c>
      <c r="AG45" s="9">
        <f t="shared" si="29"/>
        <v>0</v>
      </c>
      <c r="AH45" s="9">
        <f t="shared" si="29"/>
        <v>0</v>
      </c>
      <c r="AI45" s="9">
        <f t="shared" ref="AI45:BJ45" si="30">IF(AI2=Exit_Month,-Selling_Cost_Pct*AI44,0)</f>
        <v>0</v>
      </c>
      <c r="AJ45" s="9">
        <f t="shared" si="30"/>
        <v>0</v>
      </c>
      <c r="AK45" s="9">
        <f t="shared" si="30"/>
        <v>0</v>
      </c>
      <c r="AL45" s="9">
        <f t="shared" si="30"/>
        <v>0</v>
      </c>
      <c r="AM45" s="9">
        <f t="shared" si="30"/>
        <v>0</v>
      </c>
      <c r="AN45" s="9">
        <f t="shared" si="30"/>
        <v>0</v>
      </c>
      <c r="AO45" s="9">
        <f t="shared" si="30"/>
        <v>0</v>
      </c>
      <c r="AP45" s="9">
        <f t="shared" si="30"/>
        <v>0</v>
      </c>
      <c r="AQ45" s="9">
        <f t="shared" si="30"/>
        <v>0</v>
      </c>
      <c r="AR45" s="9">
        <f t="shared" si="30"/>
        <v>0</v>
      </c>
      <c r="AS45" s="9">
        <f t="shared" si="30"/>
        <v>0</v>
      </c>
      <c r="AT45" s="9">
        <f t="shared" si="30"/>
        <v>0</v>
      </c>
      <c r="AU45" s="9">
        <f t="shared" si="30"/>
        <v>0</v>
      </c>
      <c r="AV45" s="9">
        <f t="shared" si="30"/>
        <v>0</v>
      </c>
      <c r="AW45" s="9">
        <f t="shared" si="30"/>
        <v>0</v>
      </c>
      <c r="AX45" s="9">
        <f t="shared" si="30"/>
        <v>0</v>
      </c>
      <c r="AY45" s="9">
        <f t="shared" si="30"/>
        <v>0</v>
      </c>
      <c r="AZ45" s="9">
        <f t="shared" si="30"/>
        <v>0</v>
      </c>
      <c r="BA45" s="9">
        <f t="shared" si="30"/>
        <v>0</v>
      </c>
      <c r="BB45" s="9">
        <f t="shared" si="30"/>
        <v>0</v>
      </c>
      <c r="BC45" s="9">
        <f t="shared" si="30"/>
        <v>0</v>
      </c>
      <c r="BD45" s="9">
        <f t="shared" si="30"/>
        <v>0</v>
      </c>
      <c r="BE45" s="9">
        <f t="shared" si="30"/>
        <v>0</v>
      </c>
      <c r="BF45" s="9">
        <f t="shared" si="30"/>
        <v>0</v>
      </c>
      <c r="BG45" s="9">
        <f t="shared" si="30"/>
        <v>0</v>
      </c>
      <c r="BH45" s="9">
        <f t="shared" si="30"/>
        <v>0</v>
      </c>
      <c r="BI45" s="9">
        <f t="shared" si="30"/>
        <v>0</v>
      </c>
      <c r="BJ45" s="9">
        <f t="shared" si="30"/>
        <v>-61275.515439979987</v>
      </c>
    </row>
    <row r="46" spans="2:62" x14ac:dyDescent="0.25">
      <c r="B46" s="7" t="s">
        <v>33</v>
      </c>
      <c r="C46" s="9">
        <f>-Debt!C25</f>
        <v>0</v>
      </c>
      <c r="D46" s="9">
        <f>-Debt!D25</f>
        <v>0</v>
      </c>
      <c r="E46" s="9">
        <f>-Debt!E25</f>
        <v>0</v>
      </c>
      <c r="F46" s="9">
        <f>-Debt!F25</f>
        <v>0</v>
      </c>
      <c r="G46" s="9">
        <f>-Debt!G25</f>
        <v>0</v>
      </c>
      <c r="H46" s="9">
        <f>-Debt!H25</f>
        <v>0</v>
      </c>
      <c r="I46" s="9">
        <f>-Debt!I25</f>
        <v>0</v>
      </c>
      <c r="J46" s="9">
        <f>-Debt!J25</f>
        <v>0</v>
      </c>
      <c r="K46" s="9">
        <f>-Debt!K25</f>
        <v>0</v>
      </c>
      <c r="L46" s="9">
        <f>-Debt!L25</f>
        <v>0</v>
      </c>
      <c r="M46" s="9">
        <f>-Debt!M25</f>
        <v>0</v>
      </c>
      <c r="N46" s="9">
        <f>-Debt!N25</f>
        <v>0</v>
      </c>
      <c r="O46" s="9">
        <f>-Debt!O25</f>
        <v>0</v>
      </c>
      <c r="P46" s="9">
        <f>-Debt!P25</f>
        <v>0</v>
      </c>
      <c r="Q46" s="9">
        <f>-Debt!Q25</f>
        <v>0</v>
      </c>
      <c r="R46" s="9">
        <f>-Debt!R25</f>
        <v>0</v>
      </c>
      <c r="S46" s="9">
        <f>-Debt!S25</f>
        <v>0</v>
      </c>
      <c r="T46" s="9">
        <f>-Debt!T25</f>
        <v>0</v>
      </c>
      <c r="U46" s="9">
        <f>-Debt!U25</f>
        <v>0</v>
      </c>
      <c r="V46" s="9">
        <f>-Debt!V25</f>
        <v>0</v>
      </c>
      <c r="W46" s="9">
        <f>-Debt!W25</f>
        <v>0</v>
      </c>
      <c r="X46" s="9">
        <f>-Debt!X25</f>
        <v>0</v>
      </c>
      <c r="Y46" s="9">
        <f>-Debt!Y25</f>
        <v>0</v>
      </c>
      <c r="Z46" s="9">
        <f>-Debt!Z25</f>
        <v>0</v>
      </c>
      <c r="AA46" s="9">
        <f>-Debt!AA25</f>
        <v>0</v>
      </c>
      <c r="AB46" s="9">
        <f>-Debt!AB25</f>
        <v>0</v>
      </c>
      <c r="AC46" s="9">
        <f>-Debt!AC25</f>
        <v>0</v>
      </c>
      <c r="AD46" s="9">
        <f>-Debt!AD25</f>
        <v>0</v>
      </c>
      <c r="AE46" s="9">
        <f>-Debt!AE25</f>
        <v>0</v>
      </c>
      <c r="AF46" s="9">
        <f>-Debt!AF25</f>
        <v>0</v>
      </c>
      <c r="AG46" s="9">
        <f>-Debt!AG25</f>
        <v>0</v>
      </c>
      <c r="AH46" s="9">
        <f>-Debt!AH25</f>
        <v>0</v>
      </c>
      <c r="AI46" s="9">
        <f>-Debt!AI25</f>
        <v>0</v>
      </c>
      <c r="AJ46" s="9">
        <f>-Debt!AJ25</f>
        <v>0</v>
      </c>
      <c r="AK46" s="9">
        <f>-Debt!AK25</f>
        <v>0</v>
      </c>
      <c r="AL46" s="9">
        <f>-Debt!AL25</f>
        <v>0</v>
      </c>
      <c r="AM46" s="9">
        <f>-Debt!AM25</f>
        <v>0</v>
      </c>
      <c r="AN46" s="9">
        <f>-Debt!AN25</f>
        <v>0</v>
      </c>
      <c r="AO46" s="9">
        <f>-Debt!AO25</f>
        <v>0</v>
      </c>
      <c r="AP46" s="9">
        <f>-Debt!AP25</f>
        <v>0</v>
      </c>
      <c r="AQ46" s="9">
        <f>-Debt!AQ25</f>
        <v>0</v>
      </c>
      <c r="AR46" s="9">
        <f>-Debt!AR25</f>
        <v>0</v>
      </c>
      <c r="AS46" s="9">
        <f>-Debt!AS25</f>
        <v>0</v>
      </c>
      <c r="AT46" s="9">
        <f>-Debt!AT25</f>
        <v>0</v>
      </c>
      <c r="AU46" s="9">
        <f>-Debt!AU25</f>
        <v>0</v>
      </c>
      <c r="AV46" s="9">
        <f>-Debt!AV25</f>
        <v>0</v>
      </c>
      <c r="AW46" s="9">
        <f>-Debt!AW25</f>
        <v>0</v>
      </c>
      <c r="AX46" s="9">
        <f>-Debt!AX25</f>
        <v>0</v>
      </c>
      <c r="AY46" s="9">
        <f>-Debt!AY25</f>
        <v>0</v>
      </c>
      <c r="AZ46" s="9">
        <f>-Debt!AZ25</f>
        <v>0</v>
      </c>
      <c r="BA46" s="9">
        <f>-Debt!BA25</f>
        <v>0</v>
      </c>
      <c r="BB46" s="9">
        <f>-Debt!BB25</f>
        <v>0</v>
      </c>
      <c r="BC46" s="9">
        <f>-Debt!BC25</f>
        <v>0</v>
      </c>
      <c r="BD46" s="9">
        <f>-Debt!BD25</f>
        <v>0</v>
      </c>
      <c r="BE46" s="9">
        <f>-Debt!BE25</f>
        <v>0</v>
      </c>
      <c r="BF46" s="9">
        <f>-Debt!BF25</f>
        <v>0</v>
      </c>
      <c r="BG46" s="9">
        <f>-Debt!BG25</f>
        <v>0</v>
      </c>
      <c r="BH46" s="9">
        <f>-Debt!BH25</f>
        <v>0</v>
      </c>
      <c r="BI46" s="9">
        <f>-Debt!BI25</f>
        <v>0</v>
      </c>
      <c r="BJ46" s="9">
        <f>-Debt!BJ25</f>
        <v>-1896785.4902792422</v>
      </c>
    </row>
    <row r="47" spans="2:62" x14ac:dyDescent="0.25">
      <c r="B47" s="10" t="s">
        <v>34</v>
      </c>
      <c r="C47" s="11">
        <f t="shared" ref="C47:AH47" si="31">C44+C45+C46</f>
        <v>0</v>
      </c>
      <c r="D47" s="11">
        <f t="shared" si="31"/>
        <v>0</v>
      </c>
      <c r="E47" s="11">
        <f t="shared" si="31"/>
        <v>0</v>
      </c>
      <c r="F47" s="11">
        <f t="shared" si="31"/>
        <v>0</v>
      </c>
      <c r="G47" s="11">
        <f t="shared" si="31"/>
        <v>0</v>
      </c>
      <c r="H47" s="11">
        <f t="shared" si="31"/>
        <v>0</v>
      </c>
      <c r="I47" s="11">
        <f t="shared" si="31"/>
        <v>0</v>
      </c>
      <c r="J47" s="11">
        <f t="shared" si="31"/>
        <v>0</v>
      </c>
      <c r="K47" s="11">
        <f t="shared" si="31"/>
        <v>0</v>
      </c>
      <c r="L47" s="11">
        <f t="shared" si="31"/>
        <v>0</v>
      </c>
      <c r="M47" s="11">
        <f t="shared" si="31"/>
        <v>0</v>
      </c>
      <c r="N47" s="11">
        <f t="shared" si="31"/>
        <v>0</v>
      </c>
      <c r="O47" s="11">
        <f t="shared" si="31"/>
        <v>0</v>
      </c>
      <c r="P47" s="11">
        <f t="shared" si="31"/>
        <v>0</v>
      </c>
      <c r="Q47" s="11">
        <f t="shared" si="31"/>
        <v>0</v>
      </c>
      <c r="R47" s="11">
        <f t="shared" si="31"/>
        <v>0</v>
      </c>
      <c r="S47" s="11">
        <f t="shared" si="31"/>
        <v>0</v>
      </c>
      <c r="T47" s="11">
        <f t="shared" si="31"/>
        <v>0</v>
      </c>
      <c r="U47" s="11">
        <f t="shared" si="31"/>
        <v>0</v>
      </c>
      <c r="V47" s="11">
        <f t="shared" si="31"/>
        <v>0</v>
      </c>
      <c r="W47" s="11">
        <f t="shared" si="31"/>
        <v>0</v>
      </c>
      <c r="X47" s="11">
        <f t="shared" si="31"/>
        <v>0</v>
      </c>
      <c r="Y47" s="11">
        <f t="shared" si="31"/>
        <v>0</v>
      </c>
      <c r="Z47" s="11">
        <f t="shared" si="31"/>
        <v>0</v>
      </c>
      <c r="AA47" s="11">
        <f t="shared" si="31"/>
        <v>0</v>
      </c>
      <c r="AB47" s="11">
        <f t="shared" si="31"/>
        <v>0</v>
      </c>
      <c r="AC47" s="11">
        <f t="shared" si="31"/>
        <v>0</v>
      </c>
      <c r="AD47" s="11">
        <f t="shared" si="31"/>
        <v>0</v>
      </c>
      <c r="AE47" s="11">
        <f t="shared" si="31"/>
        <v>0</v>
      </c>
      <c r="AF47" s="11">
        <f t="shared" si="31"/>
        <v>0</v>
      </c>
      <c r="AG47" s="11">
        <f t="shared" si="31"/>
        <v>0</v>
      </c>
      <c r="AH47" s="11">
        <f t="shared" si="31"/>
        <v>0</v>
      </c>
      <c r="AI47" s="11">
        <f t="shared" ref="AI47:BJ47" si="32">AI44+AI45+AI46</f>
        <v>0</v>
      </c>
      <c r="AJ47" s="11">
        <f t="shared" si="32"/>
        <v>0</v>
      </c>
      <c r="AK47" s="11">
        <f t="shared" si="32"/>
        <v>0</v>
      </c>
      <c r="AL47" s="11">
        <f t="shared" si="32"/>
        <v>0</v>
      </c>
      <c r="AM47" s="11">
        <f t="shared" si="32"/>
        <v>0</v>
      </c>
      <c r="AN47" s="11">
        <f t="shared" si="32"/>
        <v>0</v>
      </c>
      <c r="AO47" s="11">
        <f t="shared" si="32"/>
        <v>0</v>
      </c>
      <c r="AP47" s="11">
        <f t="shared" si="32"/>
        <v>0</v>
      </c>
      <c r="AQ47" s="11">
        <f t="shared" si="32"/>
        <v>0</v>
      </c>
      <c r="AR47" s="11">
        <f t="shared" si="32"/>
        <v>0</v>
      </c>
      <c r="AS47" s="11">
        <f t="shared" si="32"/>
        <v>0</v>
      </c>
      <c r="AT47" s="11">
        <f t="shared" si="32"/>
        <v>0</v>
      </c>
      <c r="AU47" s="11">
        <f t="shared" si="32"/>
        <v>0</v>
      </c>
      <c r="AV47" s="11">
        <f t="shared" si="32"/>
        <v>0</v>
      </c>
      <c r="AW47" s="11">
        <f t="shared" si="32"/>
        <v>0</v>
      </c>
      <c r="AX47" s="11">
        <f t="shared" si="32"/>
        <v>0</v>
      </c>
      <c r="AY47" s="11">
        <f t="shared" si="32"/>
        <v>0</v>
      </c>
      <c r="AZ47" s="11">
        <f t="shared" si="32"/>
        <v>0</v>
      </c>
      <c r="BA47" s="11">
        <f t="shared" si="32"/>
        <v>0</v>
      </c>
      <c r="BB47" s="11">
        <f t="shared" si="32"/>
        <v>0</v>
      </c>
      <c r="BC47" s="11">
        <f t="shared" si="32"/>
        <v>0</v>
      </c>
      <c r="BD47" s="11">
        <f t="shared" si="32"/>
        <v>0</v>
      </c>
      <c r="BE47" s="11">
        <f t="shared" si="32"/>
        <v>0</v>
      </c>
      <c r="BF47" s="11">
        <f t="shared" si="32"/>
        <v>0</v>
      </c>
      <c r="BG47" s="11">
        <f t="shared" si="32"/>
        <v>0</v>
      </c>
      <c r="BH47" s="11">
        <f t="shared" si="32"/>
        <v>0</v>
      </c>
      <c r="BI47" s="11">
        <f t="shared" si="32"/>
        <v>0</v>
      </c>
      <c r="BJ47" s="11">
        <f t="shared" si="32"/>
        <v>1105714.7662797768</v>
      </c>
    </row>
    <row r="49" spans="2:62" x14ac:dyDescent="0.25">
      <c r="B49" s="6" t="s">
        <v>35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</row>
    <row r="50" spans="2:62" x14ac:dyDescent="0.25">
      <c r="B50" s="7" t="s">
        <v>36</v>
      </c>
      <c r="C50" s="8">
        <f>IF(C2=1,-(Overview!I20-Overview!I6),0)</f>
        <v>-988000</v>
      </c>
      <c r="D50" s="8">
        <f>IF(D2=1,-(Overview!J20-Overview!J6),0)</f>
        <v>0</v>
      </c>
      <c r="E50" s="8">
        <f>IF(E2=1,-(Overview!K20-Overview!K6),0)</f>
        <v>0</v>
      </c>
      <c r="F50" s="8">
        <f>IF(F2=1,-(Overview!L20-Overview!L6),0)</f>
        <v>0</v>
      </c>
      <c r="G50" s="8">
        <f>IF(G2=1,-(Overview!M20-Overview!M6),0)</f>
        <v>0</v>
      </c>
      <c r="H50" s="8">
        <f>IF(H2=1,-(Overview!N20-Overview!N6),0)</f>
        <v>0</v>
      </c>
      <c r="I50" s="8">
        <f>IF(I2=1,-(Overview!O20-Overview!O6),0)</f>
        <v>0</v>
      </c>
      <c r="J50" s="8">
        <f>IF(J2=1,-(Overview!P20-Overview!P6),0)</f>
        <v>0</v>
      </c>
      <c r="K50" s="8">
        <f>IF(K2=1,-(Overview!Q20-Overview!Q6),0)</f>
        <v>0</v>
      </c>
      <c r="L50" s="8">
        <f>IF(L2=1,-(Overview!R20-Overview!R6),0)</f>
        <v>0</v>
      </c>
      <c r="M50" s="8">
        <f>IF(M2=1,-(Overview!S20-Overview!S6),0)</f>
        <v>0</v>
      </c>
      <c r="N50" s="8">
        <f>IF(N2=1,-(Overview!T20-Overview!T6),0)</f>
        <v>0</v>
      </c>
      <c r="O50" s="8">
        <f>IF(O2=1,-(Overview!U20-Overview!U6),0)</f>
        <v>0</v>
      </c>
      <c r="P50" s="8">
        <f>IF(P2=1,-(Overview!V20-Overview!V6),0)</f>
        <v>0</v>
      </c>
      <c r="Q50" s="8">
        <f>IF(Q2=1,-(Overview!W20-Overview!W6),0)</f>
        <v>0</v>
      </c>
      <c r="R50" s="8">
        <f>IF(R2=1,-(Overview!X20-Overview!X6),0)</f>
        <v>0</v>
      </c>
      <c r="S50" s="8">
        <f>IF(S2=1,-(Overview!Y20-Overview!Y6),0)</f>
        <v>0</v>
      </c>
      <c r="T50" s="8">
        <f>IF(T2=1,-(Overview!Z20-Overview!Z6),0)</f>
        <v>0</v>
      </c>
      <c r="U50" s="8">
        <f>IF(U2=1,-(Overview!AA20-Overview!AA6),0)</f>
        <v>0</v>
      </c>
      <c r="V50" s="8">
        <f>IF(V2=1,-(Overview!AB20-Overview!AB6),0)</f>
        <v>0</v>
      </c>
      <c r="W50" s="8">
        <f>IF(W2=1,-(Overview!AC20-Overview!AC6),0)</f>
        <v>0</v>
      </c>
      <c r="X50" s="8">
        <f>IF(X2=1,-(Overview!AD20-Overview!AD6),0)</f>
        <v>0</v>
      </c>
      <c r="Y50" s="8">
        <f>IF(Y2=1,-(Overview!AE20-Overview!AE6),0)</f>
        <v>0</v>
      </c>
      <c r="Z50" s="8">
        <f>IF(Z2=1,-(Overview!AF20-Overview!AF6),0)</f>
        <v>0</v>
      </c>
      <c r="AA50" s="8">
        <f>IF(AA2=1,-(Overview!AG20-Overview!AG6),0)</f>
        <v>0</v>
      </c>
      <c r="AB50" s="8">
        <f>IF(AB2=1,-(Overview!AH20-Overview!AH6),0)</f>
        <v>0</v>
      </c>
      <c r="AC50" s="8">
        <f>IF(AC2=1,-(Overview!AI20-Overview!AI6),0)</f>
        <v>0</v>
      </c>
      <c r="AD50" s="8">
        <f>IF(AD2=1,-(Overview!AJ20-Overview!AJ6),0)</f>
        <v>0</v>
      </c>
      <c r="AE50" s="8">
        <f>IF(AE2=1,-(Overview!AK20-Overview!AK6),0)</f>
        <v>0</v>
      </c>
      <c r="AF50" s="8">
        <f>IF(AF2=1,-(Overview!AL20-Overview!AL6),0)</f>
        <v>0</v>
      </c>
      <c r="AG50" s="8">
        <f>IF(AG2=1,-(Overview!AM20-Overview!AM6),0)</f>
        <v>0</v>
      </c>
      <c r="AH50" s="8">
        <f>IF(AH2=1,-(Overview!AN20-Overview!AN6),0)</f>
        <v>0</v>
      </c>
      <c r="AI50" s="8">
        <f>IF(AI2=1,-(Overview!AO20-Overview!AO6),0)</f>
        <v>0</v>
      </c>
      <c r="AJ50" s="8">
        <f>IF(AJ2=1,-(Overview!AP20-Overview!AP6),0)</f>
        <v>0</v>
      </c>
      <c r="AK50" s="8">
        <f>IF(AK2=1,-(Overview!AQ20-Overview!AQ6),0)</f>
        <v>0</v>
      </c>
      <c r="AL50" s="8">
        <f>IF(AL2=1,-(Overview!AR20-Overview!AR6),0)</f>
        <v>0</v>
      </c>
      <c r="AM50" s="8">
        <f>IF(AM2=1,-(Overview!AS20-Overview!AS6),0)</f>
        <v>0</v>
      </c>
      <c r="AN50" s="8">
        <f>IF(AN2=1,-(Overview!AT20-Overview!AT6),0)</f>
        <v>0</v>
      </c>
      <c r="AO50" s="8">
        <f>IF(AO2=1,-(Overview!AU20-Overview!AU6),0)</f>
        <v>0</v>
      </c>
      <c r="AP50" s="8">
        <f>IF(AP2=1,-(Overview!AV20-Overview!AV6),0)</f>
        <v>0</v>
      </c>
      <c r="AQ50" s="8">
        <f>IF(AQ2=1,-(Overview!AW20-Overview!AW6),0)</f>
        <v>0</v>
      </c>
      <c r="AR50" s="8">
        <f>IF(AR2=1,-(Overview!AX20-Overview!AX6),0)</f>
        <v>0</v>
      </c>
      <c r="AS50" s="8">
        <f>IF(AS2=1,-(Overview!AY20-Overview!AY6),0)</f>
        <v>0</v>
      </c>
      <c r="AT50" s="8">
        <f>IF(AT2=1,-(Overview!AZ20-Overview!AZ6),0)</f>
        <v>0</v>
      </c>
      <c r="AU50" s="8">
        <f>IF(AU2=1,-(Overview!BA20-Overview!BA6),0)</f>
        <v>0</v>
      </c>
      <c r="AV50" s="8">
        <f>IF(AV2=1,-(Overview!BB20-Overview!BB6),0)</f>
        <v>0</v>
      </c>
      <c r="AW50" s="8">
        <f>IF(AW2=1,-(Overview!BC20-Overview!BC6),0)</f>
        <v>0</v>
      </c>
      <c r="AX50" s="8">
        <f>IF(AX2=1,-(Overview!BD20-Overview!BD6),0)</f>
        <v>0</v>
      </c>
      <c r="AY50" s="8">
        <f>IF(AY2=1,-(Overview!BE20-Overview!BE6),0)</f>
        <v>0</v>
      </c>
      <c r="AZ50" s="8">
        <f>IF(AZ2=1,-(Overview!BF20-Overview!BF6),0)</f>
        <v>0</v>
      </c>
      <c r="BA50" s="8">
        <f>IF(BA2=1,-(Overview!BG20-Overview!BG6),0)</f>
        <v>0</v>
      </c>
      <c r="BB50" s="8">
        <f>IF(BB2=1,-(Overview!BH20-Overview!BH6),0)</f>
        <v>0</v>
      </c>
      <c r="BC50" s="8">
        <f>IF(BC2=1,-(Overview!BI20-Overview!BI6),0)</f>
        <v>0</v>
      </c>
      <c r="BD50" s="8">
        <f>IF(BD2=1,-(Overview!BJ20-Overview!BJ6),0)</f>
        <v>0</v>
      </c>
      <c r="BE50" s="8">
        <f>IF(BE2=1,-(Overview!BK20-Overview!BK6),0)</f>
        <v>0</v>
      </c>
      <c r="BF50" s="8">
        <f>IF(BF2=1,-(Overview!BL20-Overview!BL6),0)</f>
        <v>0</v>
      </c>
      <c r="BG50" s="8">
        <f>IF(BG2=1,-(Overview!BM20-Overview!BM6),0)</f>
        <v>0</v>
      </c>
      <c r="BH50" s="8">
        <f>IF(BH2=1,-(Overview!BN20-Overview!BN6),0)</f>
        <v>0</v>
      </c>
      <c r="BI50" s="8">
        <f>IF(BI2=1,-(Overview!BO20-Overview!BO6),0)</f>
        <v>0</v>
      </c>
      <c r="BJ50" s="8">
        <f>IF(BJ2=1,-(Overview!BP20-Overview!BP6),0)</f>
        <v>0</v>
      </c>
    </row>
    <row r="51" spans="2:62" x14ac:dyDescent="0.25">
      <c r="B51" s="10" t="s">
        <v>37</v>
      </c>
      <c r="C51" s="11">
        <f t="shared" ref="C51:AH51" si="33">C50+C38+C40+C47</f>
        <v>-1016753.5006989187</v>
      </c>
      <c r="D51" s="11">
        <f t="shared" si="33"/>
        <v>-28761.022208327639</v>
      </c>
      <c r="E51" s="11">
        <f t="shared" si="33"/>
        <v>-28768.556140120865</v>
      </c>
      <c r="F51" s="11">
        <f t="shared" si="33"/>
        <v>-28776.102514814967</v>
      </c>
      <c r="G51" s="11">
        <f t="shared" si="33"/>
        <v>-28783.661352960411</v>
      </c>
      <c r="H51" s="11">
        <f t="shared" si="33"/>
        <v>-89297.342901257609</v>
      </c>
      <c r="I51" s="11">
        <f t="shared" si="33"/>
        <v>-110851.42083333334</v>
      </c>
      <c r="J51" s="11">
        <f t="shared" si="33"/>
        <v>5635.5791666666637</v>
      </c>
      <c r="K51" s="11">
        <f t="shared" si="33"/>
        <v>5635.5791666666637</v>
      </c>
      <c r="L51" s="11">
        <f t="shared" si="33"/>
        <v>5635.5791666666673</v>
      </c>
      <c r="M51" s="11">
        <f t="shared" si="33"/>
        <v>5635.5791666666673</v>
      </c>
      <c r="N51" s="11">
        <f t="shared" si="33"/>
        <v>584166.9284543019</v>
      </c>
      <c r="O51" s="11">
        <f t="shared" si="33"/>
        <v>3067.0020083104996</v>
      </c>
      <c r="P51" s="11">
        <f t="shared" si="33"/>
        <v>3067.0020083104996</v>
      </c>
      <c r="Q51" s="11">
        <f t="shared" si="33"/>
        <v>3067.0020083104996</v>
      </c>
      <c r="R51" s="11">
        <f t="shared" si="33"/>
        <v>3067.0020083104978</v>
      </c>
      <c r="S51" s="11">
        <f t="shared" si="33"/>
        <v>3067.0020083104996</v>
      </c>
      <c r="T51" s="11">
        <f t="shared" si="33"/>
        <v>3067.0020083104996</v>
      </c>
      <c r="U51" s="11">
        <f t="shared" si="33"/>
        <v>3067.0020083104996</v>
      </c>
      <c r="V51" s="11">
        <f t="shared" si="33"/>
        <v>3067.0020083105014</v>
      </c>
      <c r="W51" s="11">
        <f t="shared" si="33"/>
        <v>3067.0020083104978</v>
      </c>
      <c r="X51" s="11">
        <f t="shared" si="33"/>
        <v>3067.0020083104978</v>
      </c>
      <c r="Y51" s="11">
        <f t="shared" si="33"/>
        <v>3067.0020083104996</v>
      </c>
      <c r="Z51" s="11">
        <f t="shared" si="33"/>
        <v>3067.002008310496</v>
      </c>
      <c r="AA51" s="11">
        <f t="shared" si="33"/>
        <v>3545.4906356309043</v>
      </c>
      <c r="AB51" s="11">
        <f t="shared" si="33"/>
        <v>3545.4906356309061</v>
      </c>
      <c r="AC51" s="11">
        <f t="shared" si="33"/>
        <v>3545.4906356309043</v>
      </c>
      <c r="AD51" s="11">
        <f t="shared" si="33"/>
        <v>3545.4906356309061</v>
      </c>
      <c r="AE51" s="11">
        <f t="shared" si="33"/>
        <v>3545.4906356309043</v>
      </c>
      <c r="AF51" s="11">
        <f t="shared" si="33"/>
        <v>3545.4906356309043</v>
      </c>
      <c r="AG51" s="11">
        <f t="shared" si="33"/>
        <v>3008.4290439427609</v>
      </c>
      <c r="AH51" s="11">
        <f t="shared" si="33"/>
        <v>3007.7405314235443</v>
      </c>
      <c r="AI51" s="11">
        <f t="shared" ref="AI51:BJ51" si="34">AI50+AI38+AI40+AI47</f>
        <v>3007.0508817699215</v>
      </c>
      <c r="AJ51" s="11">
        <f t="shared" si="34"/>
        <v>3006.3600931038295</v>
      </c>
      <c r="AK51" s="11">
        <f t="shared" si="34"/>
        <v>3005.6681635440896</v>
      </c>
      <c r="AL51" s="11">
        <f t="shared" si="34"/>
        <v>2658.9020714727999</v>
      </c>
      <c r="AM51" s="11">
        <f t="shared" si="34"/>
        <v>-19348.242403724955</v>
      </c>
      <c r="AN51" s="11">
        <f t="shared" si="34"/>
        <v>4073.6932081459863</v>
      </c>
      <c r="AO51" s="11">
        <f t="shared" si="34"/>
        <v>4073.3931152062696</v>
      </c>
      <c r="AP51" s="11">
        <f t="shared" si="34"/>
        <v>4073.0925266386539</v>
      </c>
      <c r="AQ51" s="11">
        <f t="shared" si="34"/>
        <v>4072.7914416245831</v>
      </c>
      <c r="AR51" s="11">
        <f t="shared" si="34"/>
        <v>-5926.4623484335871</v>
      </c>
      <c r="AS51" s="11">
        <f t="shared" si="34"/>
        <v>3367.6029727073005</v>
      </c>
      <c r="AT51" s="11">
        <f t="shared" si="34"/>
        <v>3366.769945805067</v>
      </c>
      <c r="AU51" s="11">
        <f t="shared" si="34"/>
        <v>3365.935543091166</v>
      </c>
      <c r="AV51" s="11">
        <f t="shared" si="34"/>
        <v>3365.099762293356</v>
      </c>
      <c r="AW51" s="11">
        <f t="shared" si="34"/>
        <v>3364.2626011355974</v>
      </c>
      <c r="AX51" s="11">
        <f t="shared" si="34"/>
        <v>-23306.261422823296</v>
      </c>
      <c r="AY51" s="11">
        <f t="shared" si="34"/>
        <v>5021.2900044468579</v>
      </c>
      <c r="AZ51" s="11">
        <f t="shared" si="34"/>
        <v>5021.2900044468524</v>
      </c>
      <c r="BA51" s="11">
        <f t="shared" si="34"/>
        <v>5021.2900044468597</v>
      </c>
      <c r="BB51" s="11">
        <f t="shared" si="34"/>
        <v>5021.2900044468543</v>
      </c>
      <c r="BC51" s="11">
        <f t="shared" si="34"/>
        <v>5021.2900044468543</v>
      </c>
      <c r="BD51" s="11">
        <f t="shared" si="34"/>
        <v>1814.7714606632931</v>
      </c>
      <c r="BE51" s="11">
        <f t="shared" si="34"/>
        <v>1813.3944217112044</v>
      </c>
      <c r="BF51" s="11">
        <f t="shared" si="34"/>
        <v>1812.0151084673385</v>
      </c>
      <c r="BG51" s="11">
        <f t="shared" si="34"/>
        <v>1810.6335171754968</v>
      </c>
      <c r="BH51" s="11">
        <f t="shared" si="34"/>
        <v>1809.249644073318</v>
      </c>
      <c r="BI51" s="11">
        <f t="shared" si="34"/>
        <v>1807.8634853922017</v>
      </c>
      <c r="BJ51" s="11">
        <f t="shared" si="34"/>
        <v>1064003.0885399557</v>
      </c>
    </row>
    <row r="52" spans="2:62" x14ac:dyDescent="0.25">
      <c r="B52" s="15" t="s">
        <v>38</v>
      </c>
      <c r="C52" s="16">
        <f>-Overview!I20+C22+C25+C26+C27 + Overview!I15</f>
        <v>-2375018.5006989189</v>
      </c>
      <c r="D52" s="16">
        <f t="shared" ref="D52:AI52" si="35">D22+D25+D26+D27+D44+D45</f>
        <v>-15026.02220832764</v>
      </c>
      <c r="E52" s="16">
        <f t="shared" si="35"/>
        <v>-15033.556140120865</v>
      </c>
      <c r="F52" s="16">
        <f t="shared" si="35"/>
        <v>-15041.102514814969</v>
      </c>
      <c r="G52" s="16">
        <f t="shared" si="35"/>
        <v>-15048.661352960415</v>
      </c>
      <c r="H52" s="16">
        <f t="shared" si="35"/>
        <v>-75562.342901257609</v>
      </c>
      <c r="I52" s="16">
        <f t="shared" si="35"/>
        <v>-97116.420833333337</v>
      </c>
      <c r="J52" s="16">
        <f t="shared" si="35"/>
        <v>19370.579166666663</v>
      </c>
      <c r="K52" s="16">
        <f t="shared" si="35"/>
        <v>19370.579166666663</v>
      </c>
      <c r="L52" s="16">
        <f t="shared" si="35"/>
        <v>19370.579166666666</v>
      </c>
      <c r="M52" s="16">
        <f t="shared" si="35"/>
        <v>19370.579166666666</v>
      </c>
      <c r="N52" s="16">
        <f t="shared" si="35"/>
        <v>19370.579166666666</v>
      </c>
      <c r="O52" s="16">
        <f t="shared" si="35"/>
        <v>19836.582304008261</v>
      </c>
      <c r="P52" s="16">
        <f t="shared" si="35"/>
        <v>19836.582304008261</v>
      </c>
      <c r="Q52" s="16">
        <f t="shared" si="35"/>
        <v>19836.582304008261</v>
      </c>
      <c r="R52" s="16">
        <f t="shared" si="35"/>
        <v>19836.582304008261</v>
      </c>
      <c r="S52" s="16">
        <f t="shared" si="35"/>
        <v>19836.582304008261</v>
      </c>
      <c r="T52" s="16">
        <f t="shared" si="35"/>
        <v>19836.582304008261</v>
      </c>
      <c r="U52" s="16">
        <f t="shared" si="35"/>
        <v>19836.582304008261</v>
      </c>
      <c r="V52" s="16">
        <f t="shared" si="35"/>
        <v>19836.582304008261</v>
      </c>
      <c r="W52" s="16">
        <f t="shared" si="35"/>
        <v>19836.582304008261</v>
      </c>
      <c r="X52" s="16">
        <f t="shared" si="35"/>
        <v>19836.582304008258</v>
      </c>
      <c r="Y52" s="16">
        <f t="shared" si="35"/>
        <v>19836.582304008261</v>
      </c>
      <c r="Z52" s="16">
        <f t="shared" si="35"/>
        <v>19836.582304008258</v>
      </c>
      <c r="AA52" s="16">
        <f t="shared" si="35"/>
        <v>20315.070931328664</v>
      </c>
      <c r="AB52" s="16">
        <f t="shared" si="35"/>
        <v>20315.070931328668</v>
      </c>
      <c r="AC52" s="16">
        <f t="shared" si="35"/>
        <v>20315.070931328664</v>
      </c>
      <c r="AD52" s="16">
        <f t="shared" si="35"/>
        <v>20315.070931328668</v>
      </c>
      <c r="AE52" s="16">
        <f t="shared" si="35"/>
        <v>20315.070931328664</v>
      </c>
      <c r="AF52" s="16">
        <f t="shared" si="35"/>
        <v>20315.070931328664</v>
      </c>
      <c r="AG52" s="16">
        <f t="shared" si="35"/>
        <v>19778.009339640521</v>
      </c>
      <c r="AH52" s="16">
        <f t="shared" si="35"/>
        <v>19777.320827121304</v>
      </c>
      <c r="AI52" s="16">
        <f t="shared" si="35"/>
        <v>19776.631177467683</v>
      </c>
      <c r="AJ52" s="16">
        <f t="shared" ref="AJ52:BJ52" si="36">AJ22+AJ25+AJ26+AJ27+AJ44+AJ45</f>
        <v>19775.940388801591</v>
      </c>
      <c r="AK52" s="16">
        <f t="shared" si="36"/>
        <v>19775.248459241851</v>
      </c>
      <c r="AL52" s="16">
        <f t="shared" si="36"/>
        <v>19428.482367170564</v>
      </c>
      <c r="AM52" s="16">
        <f t="shared" si="36"/>
        <v>-2578.6621080271952</v>
      </c>
      <c r="AN52" s="16">
        <f t="shared" si="36"/>
        <v>20843.273503843749</v>
      </c>
      <c r="AO52" s="16">
        <f t="shared" si="36"/>
        <v>20842.973410904029</v>
      </c>
      <c r="AP52" s="16">
        <f t="shared" si="36"/>
        <v>20842.672822336415</v>
      </c>
      <c r="AQ52" s="16">
        <f t="shared" si="36"/>
        <v>20842.371737322344</v>
      </c>
      <c r="AR52" s="16">
        <f t="shared" si="36"/>
        <v>10843.117947264174</v>
      </c>
      <c r="AS52" s="16">
        <f t="shared" si="36"/>
        <v>20137.183268405064</v>
      </c>
      <c r="AT52" s="16">
        <f t="shared" si="36"/>
        <v>20136.350241502831</v>
      </c>
      <c r="AU52" s="16">
        <f t="shared" si="36"/>
        <v>20135.515838788928</v>
      </c>
      <c r="AV52" s="16">
        <f t="shared" si="36"/>
        <v>20134.680057991118</v>
      </c>
      <c r="AW52" s="16">
        <f t="shared" si="36"/>
        <v>20133.842896833361</v>
      </c>
      <c r="AX52" s="16">
        <f t="shared" si="36"/>
        <v>-6536.6811271255337</v>
      </c>
      <c r="AY52" s="16">
        <f t="shared" si="36"/>
        <v>21790.870300144619</v>
      </c>
      <c r="AZ52" s="16">
        <f t="shared" si="36"/>
        <v>21790.870300144616</v>
      </c>
      <c r="BA52" s="16">
        <f t="shared" si="36"/>
        <v>21790.870300144623</v>
      </c>
      <c r="BB52" s="16">
        <f t="shared" si="36"/>
        <v>21790.870300144616</v>
      </c>
      <c r="BC52" s="16">
        <f t="shared" si="36"/>
        <v>21790.870300144619</v>
      </c>
      <c r="BD52" s="16">
        <f t="shared" si="36"/>
        <v>18584.351756361059</v>
      </c>
      <c r="BE52" s="16">
        <f t="shared" si="36"/>
        <v>18582.974717408968</v>
      </c>
      <c r="BF52" s="16">
        <f t="shared" si="36"/>
        <v>18581.595404165102</v>
      </c>
      <c r="BG52" s="16">
        <f t="shared" si="36"/>
        <v>18580.213812873262</v>
      </c>
      <c r="BH52" s="16">
        <f t="shared" si="36"/>
        <v>18578.829939771083</v>
      </c>
      <c r="BI52" s="16">
        <f t="shared" si="36"/>
        <v>18577.443781089965</v>
      </c>
      <c r="BJ52" s="16">
        <f t="shared" si="36"/>
        <v>2977558.1591148959</v>
      </c>
    </row>
    <row r="54" spans="2:62" x14ac:dyDescent="0.25">
      <c r="B54" s="6" t="s">
        <v>39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</row>
    <row r="55" spans="2:62" x14ac:dyDescent="0.25">
      <c r="B55" s="7" t="s">
        <v>48</v>
      </c>
      <c r="C55" s="17">
        <f>IFERROR(XIRR(C51:BJ51, $C$4:$BJ$4, 0.1),"N/A")</f>
        <v>9.3476119637489322E-2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</row>
    <row r="56" spans="2:62" x14ac:dyDescent="0.25">
      <c r="B56" s="7" t="s">
        <v>55</v>
      </c>
      <c r="C56" s="17">
        <f>IFERROR(XIRR(C52:BJ52, $C$4:$BJ$4, 0.1),"N/A")</f>
        <v>0.10299946665763854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</row>
    <row r="57" spans="2:62" x14ac:dyDescent="0.25">
      <c r="B57" s="7" t="s">
        <v>40</v>
      </c>
      <c r="C57" s="18">
        <f>IFERROR(1+SUM(C51:BJ51)/(-C50),"N/A")</f>
        <v>1.440291395051966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</row>
    <row r="58" spans="2:62" x14ac:dyDescent="0.25">
      <c r="B58" s="7" t="s">
        <v>297</v>
      </c>
      <c r="C58" s="17" cm="1">
        <f t="array" ref="C58">IFERROR(SUMPRODUCT(($C$3:$BJ$3=2)*$C$38:$BJ$38)/(-C50),"N/A")</f>
        <v>3.72510365381842E-2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</row>
    <row r="59" spans="2:62" x14ac:dyDescent="0.25">
      <c r="B59" s="7" t="s">
        <v>41</v>
      </c>
      <c r="C59" s="16">
        <f>SUM(C51:BJ51)</f>
        <v>435007.89831134246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A1:L35"/>
  <sheetViews>
    <sheetView zoomScaleNormal="100" workbookViewId="0">
      <pane ySplit="1" topLeftCell="A2" activePane="bottomLeft" state="frozen"/>
      <selection pane="bottomLeft" activeCell="C18" sqref="C18"/>
    </sheetView>
  </sheetViews>
  <sheetFormatPr defaultColWidth="8.7109375" defaultRowHeight="15" x14ac:dyDescent="0.25"/>
  <cols>
    <col min="1" max="1" width="2" customWidth="1"/>
    <col min="2" max="2" width="32" customWidth="1"/>
    <col min="3" max="3" width="19.42578125" customWidth="1"/>
    <col min="4" max="4" width="22.85546875" style="19" customWidth="1"/>
    <col min="5" max="6" width="18" customWidth="1"/>
    <col min="7" max="7" width="13.5703125" customWidth="1"/>
    <col min="8" max="8" width="21.7109375" customWidth="1"/>
    <col min="9" max="9" width="13.28515625" customWidth="1"/>
    <col min="10" max="10" width="15.42578125" customWidth="1"/>
    <col min="11" max="11" width="18.140625" customWidth="1"/>
    <col min="12" max="12" width="14" customWidth="1"/>
    <col min="14" max="14" width="18.140625" customWidth="1"/>
    <col min="15" max="15" width="12.28515625" customWidth="1"/>
  </cols>
  <sheetData>
    <row r="1" spans="1:12" ht="15.75" customHeight="1" x14ac:dyDescent="0.25">
      <c r="A1" s="1" t="s">
        <v>291</v>
      </c>
      <c r="B1" s="1"/>
      <c r="C1" s="1"/>
      <c r="D1" s="1"/>
      <c r="E1" s="1"/>
    </row>
    <row r="2" spans="1:12" ht="15.75" customHeight="1" thickBot="1" x14ac:dyDescent="0.3">
      <c r="B2" s="178" t="s">
        <v>292</v>
      </c>
    </row>
    <row r="3" spans="1:12" ht="15.75" customHeight="1" thickBot="1" x14ac:dyDescent="0.3">
      <c r="B3" s="6" t="s">
        <v>42</v>
      </c>
      <c r="C3" s="20"/>
      <c r="D3" s="21" t="s">
        <v>43</v>
      </c>
      <c r="E3" s="6" t="s">
        <v>44</v>
      </c>
      <c r="F3" s="20"/>
      <c r="H3" s="6" t="s">
        <v>45</v>
      </c>
      <c r="I3" s="6"/>
      <c r="K3" s="22" t="s">
        <v>39</v>
      </c>
      <c r="L3" s="23"/>
    </row>
    <row r="4" spans="1:12" ht="15.75" customHeight="1" thickBot="1" x14ac:dyDescent="0.3">
      <c r="B4" s="7" t="s">
        <v>46</v>
      </c>
      <c r="C4" s="24" t="s">
        <v>299</v>
      </c>
      <c r="D4" s="25"/>
      <c r="E4" s="7" t="s">
        <v>47</v>
      </c>
      <c r="F4" s="26">
        <v>25</v>
      </c>
      <c r="K4" s="27" t="s">
        <v>48</v>
      </c>
      <c r="L4" s="28">
        <f>IFERROR('Monthly CF'!C55,"--")</f>
        <v>9.3476119637489322E-2</v>
      </c>
    </row>
    <row r="5" spans="1:12" ht="15.75" customHeight="1" thickBot="1" x14ac:dyDescent="0.3">
      <c r="B5" s="7" t="s">
        <v>49</v>
      </c>
      <c r="C5" s="29" t="s">
        <v>50</v>
      </c>
      <c r="D5" s="30" t="s">
        <v>51</v>
      </c>
      <c r="E5" s="7" t="s">
        <v>52</v>
      </c>
      <c r="F5" s="26">
        <v>5</v>
      </c>
      <c r="H5" s="31" t="s">
        <v>53</v>
      </c>
      <c r="I5" s="32" t="s">
        <v>54</v>
      </c>
      <c r="K5" s="27" t="s">
        <v>55</v>
      </c>
      <c r="L5" s="28">
        <f>IFERROR('Monthly CF'!C56,"--")</f>
        <v>0.10299946665763854</v>
      </c>
    </row>
    <row r="6" spans="1:12" x14ac:dyDescent="0.25">
      <c r="B6" s="7" t="s">
        <v>56</v>
      </c>
      <c r="C6" s="33">
        <v>46143</v>
      </c>
      <c r="D6" s="34"/>
      <c r="E6" s="7" t="s">
        <v>57</v>
      </c>
      <c r="F6" s="35">
        <v>0.06</v>
      </c>
      <c r="H6" s="27" t="s">
        <v>58</v>
      </c>
      <c r="I6" s="36">
        <f>F13</f>
        <v>1400000</v>
      </c>
      <c r="K6" s="27" t="s">
        <v>40</v>
      </c>
      <c r="L6" s="37">
        <f>IFERROR('Monthly CF'!C57,"--")</f>
        <v>1.440291395051966</v>
      </c>
    </row>
    <row r="7" spans="1:12" x14ac:dyDescent="0.25">
      <c r="B7" s="7" t="s">
        <v>59</v>
      </c>
      <c r="C7" s="38">
        <v>17880</v>
      </c>
      <c r="D7" s="39"/>
      <c r="E7" s="7" t="s">
        <v>60</v>
      </c>
      <c r="F7" s="35">
        <v>0.03</v>
      </c>
      <c r="H7" s="27" t="s">
        <v>61</v>
      </c>
      <c r="I7" s="36">
        <f>I20-I6-I8-I9</f>
        <v>988000</v>
      </c>
      <c r="K7" s="27" t="s">
        <v>298</v>
      </c>
      <c r="L7" s="40">
        <f>IFERROR('Monthly CF'!C58,"--")</f>
        <v>3.72510365381842E-2</v>
      </c>
    </row>
    <row r="8" spans="1:12" x14ac:dyDescent="0.25">
      <c r="B8" s="7" t="s">
        <v>62</v>
      </c>
      <c r="C8" s="41">
        <v>1.57</v>
      </c>
      <c r="D8" s="25"/>
      <c r="E8" s="7" t="s">
        <v>63</v>
      </c>
      <c r="F8" s="42">
        <v>6</v>
      </c>
      <c r="H8" s="27" t="s">
        <v>64</v>
      </c>
      <c r="I8" s="43">
        <v>0</v>
      </c>
      <c r="K8" s="27" t="s">
        <v>65</v>
      </c>
      <c r="L8" s="40">
        <f>C17</f>
        <v>5.9888995806487696E-2</v>
      </c>
    </row>
    <row r="9" spans="1:12" x14ac:dyDescent="0.25">
      <c r="B9" s="7" t="s">
        <v>66</v>
      </c>
      <c r="C9" s="41">
        <v>1984</v>
      </c>
      <c r="D9" s="25"/>
      <c r="E9" s="7" t="s">
        <v>67</v>
      </c>
      <c r="F9" s="35">
        <v>0.75</v>
      </c>
      <c r="H9" s="27" t="s">
        <v>68</v>
      </c>
      <c r="I9" s="43">
        <v>0</v>
      </c>
      <c r="K9" s="27" t="s">
        <v>69</v>
      </c>
      <c r="L9" s="40">
        <f>C18</f>
        <v>0.08</v>
      </c>
    </row>
    <row r="10" spans="1:12" ht="15.75" customHeight="1" thickBot="1" x14ac:dyDescent="0.3">
      <c r="B10" s="7" t="s">
        <v>70</v>
      </c>
      <c r="C10" s="41">
        <v>65</v>
      </c>
      <c r="D10" s="25"/>
      <c r="H10" s="44" t="s">
        <v>71</v>
      </c>
      <c r="I10" s="45">
        <f>SUM(I6:I9)</f>
        <v>2388000</v>
      </c>
      <c r="K10" s="27" t="s">
        <v>72</v>
      </c>
      <c r="L10" s="46">
        <f>I20-I6</f>
        <v>988000</v>
      </c>
    </row>
    <row r="11" spans="1:12" ht="16.5" customHeight="1" thickTop="1" thickBot="1" x14ac:dyDescent="0.3">
      <c r="B11" s="7" t="s">
        <v>73</v>
      </c>
      <c r="C11" s="41">
        <v>2</v>
      </c>
      <c r="D11" s="25"/>
      <c r="E11" s="6" t="s">
        <v>74</v>
      </c>
      <c r="F11" s="20"/>
      <c r="H11" s="47"/>
      <c r="I11" s="48"/>
      <c r="K11" s="49" t="s">
        <v>41</v>
      </c>
      <c r="L11" s="50">
        <f>IFERROR('Monthly CF'!C59,"--")</f>
        <v>435007.89831134246</v>
      </c>
    </row>
    <row r="12" spans="1:12" ht="15.75" customHeight="1" thickBot="1" x14ac:dyDescent="0.3">
      <c r="D12" s="51"/>
      <c r="E12" s="7" t="s">
        <v>75</v>
      </c>
      <c r="F12" s="35">
        <v>0.7</v>
      </c>
      <c r="H12" s="52" t="s">
        <v>76</v>
      </c>
      <c r="I12" s="53" t="s">
        <v>54</v>
      </c>
      <c r="K12" s="54"/>
      <c r="L12" s="54"/>
    </row>
    <row r="13" spans="1:12" ht="15.75" customHeight="1" thickBot="1" x14ac:dyDescent="0.3">
      <c r="B13" s="6" t="s">
        <v>77</v>
      </c>
      <c r="C13" s="20"/>
      <c r="D13" s="51"/>
      <c r="E13" s="7" t="s">
        <v>78</v>
      </c>
      <c r="F13" s="8">
        <f>F12*C14</f>
        <v>1400000</v>
      </c>
      <c r="H13" s="27" t="s">
        <v>79</v>
      </c>
      <c r="I13" s="36">
        <f>C14</f>
        <v>2000000</v>
      </c>
      <c r="K13" s="7"/>
      <c r="L13" s="55"/>
    </row>
    <row r="14" spans="1:12" x14ac:dyDescent="0.25">
      <c r="B14" s="7" t="s">
        <v>80</v>
      </c>
      <c r="C14" s="56">
        <v>2000000</v>
      </c>
      <c r="D14" s="57"/>
      <c r="E14" s="58" t="s">
        <v>81</v>
      </c>
      <c r="F14" s="35">
        <v>0.1</v>
      </c>
      <c r="H14" s="27" t="s">
        <v>82</v>
      </c>
      <c r="I14" s="36">
        <f>C14*C15</f>
        <v>20000</v>
      </c>
      <c r="K14" s="7"/>
      <c r="L14" s="55"/>
    </row>
    <row r="15" spans="1:12" x14ac:dyDescent="0.25">
      <c r="B15" s="7" t="s">
        <v>83</v>
      </c>
      <c r="C15" s="35">
        <v>0.01</v>
      </c>
      <c r="D15" s="59"/>
      <c r="E15" s="58" t="s">
        <v>84</v>
      </c>
      <c r="F15" s="60">
        <v>12</v>
      </c>
      <c r="G15" s="61" t="s">
        <v>85</v>
      </c>
      <c r="H15" s="27" t="s">
        <v>86</v>
      </c>
      <c r="I15" s="36">
        <f>F13*F18</f>
        <v>28000</v>
      </c>
    </row>
    <row r="16" spans="1:12" x14ac:dyDescent="0.25">
      <c r="B16" s="7" t="s">
        <v>87</v>
      </c>
      <c r="C16" s="16">
        <f>C14+C14*C15+I18+I19+F13*F18</f>
        <v>2298000</v>
      </c>
      <c r="D16" s="62"/>
      <c r="E16" s="58" t="s">
        <v>88</v>
      </c>
      <c r="F16" s="60">
        <v>25</v>
      </c>
      <c r="G16" s="61" t="s">
        <v>85</v>
      </c>
      <c r="H16" s="27" t="s">
        <v>24</v>
      </c>
      <c r="I16" s="36">
        <f>C14*F32</f>
        <v>40000</v>
      </c>
    </row>
    <row r="17" spans="2:10" x14ac:dyDescent="0.25">
      <c r="B17" s="7" t="s">
        <v>65</v>
      </c>
      <c r="C17" s="63">
        <f>IFERROR('Monthly CF'!C22*12/C14,"--")</f>
        <v>5.9888995806487696E-2</v>
      </c>
      <c r="D17" s="59"/>
      <c r="E17" s="58" t="s">
        <v>89</v>
      </c>
      <c r="F17" s="60">
        <v>60</v>
      </c>
      <c r="G17" s="61" t="s">
        <v>85</v>
      </c>
      <c r="H17" s="27" t="s">
        <v>90</v>
      </c>
      <c r="I17" s="43">
        <v>50000</v>
      </c>
      <c r="J17" s="61" t="s">
        <v>91</v>
      </c>
    </row>
    <row r="18" spans="2:10" x14ac:dyDescent="0.25">
      <c r="B18" s="7" t="s">
        <v>69</v>
      </c>
      <c r="C18" s="35">
        <v>0.08</v>
      </c>
      <c r="D18" s="59" t="s">
        <v>92</v>
      </c>
      <c r="E18" s="7" t="s">
        <v>93</v>
      </c>
      <c r="F18" s="35">
        <v>0.02</v>
      </c>
      <c r="H18" s="27" t="s">
        <v>94</v>
      </c>
      <c r="I18" s="43">
        <f>SUM('CapEx &amp; TI-LC'!H13:S13)</f>
        <v>150000</v>
      </c>
      <c r="J18" s="178"/>
    </row>
    <row r="19" spans="2:10" x14ac:dyDescent="0.25">
      <c r="B19" s="7" t="s">
        <v>95</v>
      </c>
      <c r="C19" s="60">
        <v>60</v>
      </c>
      <c r="D19" s="64"/>
      <c r="H19" s="27" t="s">
        <v>96</v>
      </c>
      <c r="I19" s="43">
        <v>100000</v>
      </c>
    </row>
    <row r="20" spans="2:10" ht="15.75" customHeight="1" thickBot="1" x14ac:dyDescent="0.3">
      <c r="B20" s="7" t="s">
        <v>97</v>
      </c>
      <c r="C20" s="35">
        <v>0.02</v>
      </c>
      <c r="D20" s="59"/>
      <c r="E20" s="6" t="s">
        <v>98</v>
      </c>
      <c r="F20" s="20"/>
      <c r="H20" s="44" t="s">
        <v>99</v>
      </c>
      <c r="I20" s="45">
        <f>SUM(I13:I19)</f>
        <v>2388000</v>
      </c>
    </row>
    <row r="21" spans="2:10" x14ac:dyDescent="0.25">
      <c r="B21" s="7" t="s">
        <v>100</v>
      </c>
      <c r="C21" s="35">
        <v>0.05</v>
      </c>
      <c r="D21" s="59"/>
      <c r="E21" s="7" t="s">
        <v>101</v>
      </c>
      <c r="F21" s="65" t="s">
        <v>102</v>
      </c>
      <c r="H21" s="66" t="s">
        <v>103</v>
      </c>
      <c r="I21" s="67">
        <f>I10-I20</f>
        <v>0</v>
      </c>
    </row>
    <row r="22" spans="2:10" ht="15.75" customHeight="1" thickBot="1" x14ac:dyDescent="0.3">
      <c r="B22" s="7" t="s">
        <v>104</v>
      </c>
      <c r="C22" s="26">
        <v>0.5</v>
      </c>
      <c r="D22" s="231"/>
      <c r="E22" s="7" t="s">
        <v>105</v>
      </c>
      <c r="F22" s="60">
        <f>IO1_Months</f>
        <v>12</v>
      </c>
      <c r="H22" s="68" t="s">
        <v>106</v>
      </c>
      <c r="I22" s="69" t="str">
        <f>IF(ROUND(I21,0)=0,"✓ BALANCED","✗ ERROR")</f>
        <v>✓ BALANCED</v>
      </c>
    </row>
    <row r="23" spans="2:10" x14ac:dyDescent="0.25">
      <c r="B23" s="7" t="s">
        <v>107</v>
      </c>
      <c r="C23" s="35">
        <v>0.03</v>
      </c>
      <c r="D23" s="59"/>
      <c r="E23" s="7" t="s">
        <v>108</v>
      </c>
      <c r="F23" s="35">
        <v>0.7</v>
      </c>
    </row>
    <row r="24" spans="2:10" x14ac:dyDescent="0.25">
      <c r="B24" s="7" t="s">
        <v>109</v>
      </c>
      <c r="C24" s="35">
        <v>1.1742000000000001E-2</v>
      </c>
      <c r="D24" s="59"/>
      <c r="E24" s="7" t="s">
        <v>110</v>
      </c>
      <c r="F24" s="8">
        <f>IFERROR(F23*INDEX('Monthly CF'!C22:BJ22,MATCH(Refi_Month,'Monthly CF'!C2:BJ2,0))* 12/C18,"--")</f>
        <v>2033910.8124999998</v>
      </c>
    </row>
    <row r="25" spans="2:10" x14ac:dyDescent="0.25">
      <c r="B25" s="58" t="s">
        <v>111</v>
      </c>
      <c r="C25" s="35">
        <v>0.02</v>
      </c>
      <c r="D25" s="70" t="s">
        <v>112</v>
      </c>
      <c r="E25" s="58" t="s">
        <v>81</v>
      </c>
      <c r="F25" s="35">
        <v>7.2499999999999995E-2</v>
      </c>
    </row>
    <row r="26" spans="2:10" x14ac:dyDescent="0.25">
      <c r="B26" s="7" t="s">
        <v>113</v>
      </c>
      <c r="C26" s="71">
        <v>2000000</v>
      </c>
      <c r="D26" s="59"/>
      <c r="E26" s="58" t="s">
        <v>84</v>
      </c>
      <c r="F26" s="60">
        <v>0</v>
      </c>
      <c r="G26" s="61" t="s">
        <v>85</v>
      </c>
    </row>
    <row r="27" spans="2:10" x14ac:dyDescent="0.25">
      <c r="B27" s="7" t="s">
        <v>300</v>
      </c>
      <c r="C27" s="35">
        <v>0.04</v>
      </c>
      <c r="D27" s="57"/>
      <c r="E27" s="58" t="s">
        <v>88</v>
      </c>
      <c r="F27" s="60">
        <v>25</v>
      </c>
      <c r="G27" s="61" t="s">
        <v>85</v>
      </c>
    </row>
    <row r="28" spans="2:10" x14ac:dyDescent="0.25">
      <c r="B28" s="7" t="s">
        <v>114</v>
      </c>
      <c r="C28" s="71">
        <f>16513 / 12</f>
        <v>1376.0833333333333</v>
      </c>
      <c r="D28" s="51" t="s">
        <v>294</v>
      </c>
      <c r="E28" s="58" t="s">
        <v>89</v>
      </c>
      <c r="F28" s="60">
        <v>60</v>
      </c>
      <c r="G28" s="61" t="s">
        <v>85</v>
      </c>
    </row>
    <row r="29" spans="2:10" x14ac:dyDescent="0.25">
      <c r="B29" s="14"/>
      <c r="C29" s="14"/>
      <c r="D29" s="51"/>
      <c r="E29" s="7" t="s">
        <v>93</v>
      </c>
      <c r="F29" s="35">
        <v>0.02</v>
      </c>
    </row>
    <row r="30" spans="2:10" x14ac:dyDescent="0.25">
      <c r="D30" s="72"/>
    </row>
    <row r="31" spans="2:10" ht="15.75" customHeight="1" thickBot="1" x14ac:dyDescent="0.3">
      <c r="D31" s="72"/>
      <c r="E31" s="6" t="s">
        <v>115</v>
      </c>
      <c r="F31" s="20"/>
    </row>
    <row r="32" spans="2:10" x14ac:dyDescent="0.25">
      <c r="D32" s="59"/>
      <c r="E32" s="7" t="s">
        <v>116</v>
      </c>
      <c r="F32" s="35">
        <v>0.02</v>
      </c>
    </row>
    <row r="33" spans="4:6" x14ac:dyDescent="0.25">
      <c r="D33" s="59"/>
      <c r="E33" s="7" t="s">
        <v>295</v>
      </c>
      <c r="F33" s="35">
        <v>0.01</v>
      </c>
    </row>
    <row r="34" spans="4:6" x14ac:dyDescent="0.25">
      <c r="D34" s="59"/>
      <c r="E34" s="7" t="s">
        <v>117</v>
      </c>
      <c r="F34" s="71">
        <v>500</v>
      </c>
    </row>
    <row r="35" spans="4:6" x14ac:dyDescent="0.25">
      <c r="D35" s="59"/>
    </row>
  </sheetData>
  <dataValidations count="1">
    <dataValidation type="list" allowBlank="1" showInputMessage="1" showErrorMessage="1" sqref="F21" xr:uid="{00000000-0002-0000-0100-000000000000}">
      <formula1>"ON,OFF"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8F00"/>
  </sheetPr>
  <dimension ref="A1:BO49"/>
  <sheetViews>
    <sheetView zoomScaleNormal="100" workbookViewId="0">
      <pane xSplit="7" ySplit="4" topLeftCell="H5" activePane="bottomRight" state="frozen"/>
      <selection pane="topRight" activeCell="H1" sqref="H1"/>
      <selection pane="bottomLeft" activeCell="A23" sqref="A23"/>
      <selection pane="bottomRight" activeCell="C39" sqref="C39"/>
    </sheetView>
  </sheetViews>
  <sheetFormatPr defaultColWidth="8.7109375" defaultRowHeight="15" x14ac:dyDescent="0.25"/>
  <cols>
    <col min="1" max="1" width="6" customWidth="1"/>
    <col min="2" max="2" width="30" customWidth="1"/>
    <col min="3" max="3" width="10.42578125" customWidth="1"/>
    <col min="4" max="4" width="18" customWidth="1"/>
    <col min="5" max="5" width="14" customWidth="1"/>
    <col min="6" max="7" width="10" customWidth="1"/>
    <col min="8" max="67" width="12" customWidth="1"/>
  </cols>
  <sheetData>
    <row r="1" spans="1:67" ht="15.75" customHeight="1" x14ac:dyDescent="0.25">
      <c r="A1" s="234" t="s">
        <v>212</v>
      </c>
      <c r="B1" s="234"/>
      <c r="C1" s="234"/>
      <c r="D1" s="234"/>
      <c r="E1" s="234"/>
      <c r="F1" s="234"/>
      <c r="G1" s="234"/>
    </row>
    <row r="3" spans="1:67" x14ac:dyDescent="0.25">
      <c r="A3" s="123" t="s">
        <v>213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</row>
    <row r="4" spans="1:67" ht="26.25" customHeight="1" x14ac:dyDescent="0.25">
      <c r="A4" s="74" t="s">
        <v>214</v>
      </c>
      <c r="B4" s="74" t="s">
        <v>215</v>
      </c>
      <c r="C4" s="74" t="s">
        <v>216</v>
      </c>
      <c r="D4" s="74" t="s">
        <v>217</v>
      </c>
      <c r="E4" s="74" t="s">
        <v>218</v>
      </c>
      <c r="F4" s="74" t="s">
        <v>219</v>
      </c>
      <c r="G4" s="74" t="s">
        <v>220</v>
      </c>
      <c r="H4" s="135">
        <v>1</v>
      </c>
      <c r="I4" s="135">
        <v>2</v>
      </c>
      <c r="J4" s="135">
        <v>3</v>
      </c>
      <c r="K4" s="135">
        <v>4</v>
      </c>
      <c r="L4" s="135">
        <v>5</v>
      </c>
      <c r="M4" s="135">
        <v>6</v>
      </c>
      <c r="N4" s="135">
        <v>7</v>
      </c>
      <c r="O4" s="135">
        <v>8</v>
      </c>
      <c r="P4" s="135">
        <v>9</v>
      </c>
      <c r="Q4" s="135">
        <v>10</v>
      </c>
      <c r="R4" s="135">
        <v>11</v>
      </c>
      <c r="S4" s="135">
        <v>12</v>
      </c>
      <c r="T4" s="135">
        <v>13</v>
      </c>
      <c r="U4" s="135">
        <v>14</v>
      </c>
      <c r="V4" s="135">
        <v>15</v>
      </c>
      <c r="W4" s="135">
        <v>16</v>
      </c>
      <c r="X4" s="135">
        <v>17</v>
      </c>
      <c r="Y4" s="135">
        <v>18</v>
      </c>
      <c r="Z4" s="135">
        <v>19</v>
      </c>
      <c r="AA4" s="135">
        <v>20</v>
      </c>
      <c r="AB4" s="135">
        <v>21</v>
      </c>
      <c r="AC4" s="135">
        <v>22</v>
      </c>
      <c r="AD4" s="135">
        <v>23</v>
      </c>
      <c r="AE4" s="135">
        <v>24</v>
      </c>
      <c r="AF4" s="135">
        <v>25</v>
      </c>
      <c r="AG4" s="135">
        <v>26</v>
      </c>
      <c r="AH4" s="135">
        <v>27</v>
      </c>
      <c r="AI4" s="135">
        <v>28</v>
      </c>
      <c r="AJ4" s="135">
        <v>29</v>
      </c>
      <c r="AK4" s="135">
        <v>30</v>
      </c>
      <c r="AL4" s="135">
        <v>31</v>
      </c>
      <c r="AM4" s="135">
        <v>32</v>
      </c>
      <c r="AN4" s="135">
        <v>33</v>
      </c>
      <c r="AO4" s="135">
        <v>34</v>
      </c>
      <c r="AP4" s="135">
        <v>35</v>
      </c>
      <c r="AQ4" s="135">
        <v>36</v>
      </c>
      <c r="AR4" s="135">
        <v>37</v>
      </c>
      <c r="AS4" s="135">
        <v>38</v>
      </c>
      <c r="AT4" s="135">
        <v>39</v>
      </c>
      <c r="AU4" s="135">
        <v>40</v>
      </c>
      <c r="AV4" s="135">
        <v>41</v>
      </c>
      <c r="AW4" s="135">
        <v>42</v>
      </c>
      <c r="AX4" s="135">
        <v>43</v>
      </c>
      <c r="AY4" s="135">
        <v>44</v>
      </c>
      <c r="AZ4" s="135">
        <v>45</v>
      </c>
      <c r="BA4" s="135">
        <v>46</v>
      </c>
      <c r="BB4" s="135">
        <v>47</v>
      </c>
      <c r="BC4" s="135">
        <v>48</v>
      </c>
      <c r="BD4" s="135">
        <v>49</v>
      </c>
      <c r="BE4" s="135">
        <v>50</v>
      </c>
      <c r="BF4" s="135">
        <v>51</v>
      </c>
      <c r="BG4" s="135">
        <v>52</v>
      </c>
      <c r="BH4" s="135">
        <v>53</v>
      </c>
      <c r="BI4" s="135">
        <v>54</v>
      </c>
      <c r="BJ4" s="135">
        <v>55</v>
      </c>
      <c r="BK4" s="135">
        <v>56</v>
      </c>
      <c r="BL4" s="135">
        <v>57</v>
      </c>
      <c r="BM4" s="135">
        <v>58</v>
      </c>
      <c r="BN4" s="135">
        <v>59</v>
      </c>
      <c r="BO4" s="135">
        <v>60</v>
      </c>
    </row>
    <row r="5" spans="1:67" x14ac:dyDescent="0.25">
      <c r="A5" s="60">
        <v>1</v>
      </c>
      <c r="B5" s="29" t="s">
        <v>221</v>
      </c>
      <c r="C5" s="29" t="s">
        <v>222</v>
      </c>
      <c r="D5" s="60"/>
      <c r="E5" s="136">
        <v>150000</v>
      </c>
      <c r="F5" s="137">
        <v>1</v>
      </c>
      <c r="G5" s="137">
        <v>6</v>
      </c>
      <c r="H5" s="9">
        <f>IF(AND(1&gt;=$F$5,1&lt;$F$5+$G$5),$E$5/$G$5,0)</f>
        <v>25000</v>
      </c>
      <c r="I5" s="9">
        <f>IF(AND(2&gt;=$F$5,2&lt;$F$5+$G$5),$E$5/$G$5,0)</f>
        <v>25000</v>
      </c>
      <c r="J5" s="9">
        <f>IF(AND(3&gt;=$F$5,3&lt;$F$5+$G$5),$E$5/$G$5,0)</f>
        <v>25000</v>
      </c>
      <c r="K5" s="9">
        <f>IF(AND(4&gt;=$F$5,4&lt;$F$5+$G$5),$E$5/$G$5,0)</f>
        <v>25000</v>
      </c>
      <c r="L5" s="9">
        <f>IF(AND(5&gt;=$F$5,5&lt;$F$5+$G$5),$E$5/$G$5,0)</f>
        <v>25000</v>
      </c>
      <c r="M5" s="9">
        <f>IF(AND(6&gt;=$F$5,6&lt;$F$5+$G$5),$E$5/$G$5,0)</f>
        <v>25000</v>
      </c>
      <c r="N5" s="9">
        <f>IF(AND(7&gt;=$F$5,7&lt;$F$5+$G$5),$E$5/$G$5,0)</f>
        <v>0</v>
      </c>
      <c r="O5" s="9">
        <f>IF(AND(8&gt;=$F$5,8&lt;$F$5+$G$5),$E$5/$G$5,0)</f>
        <v>0</v>
      </c>
      <c r="P5" s="9">
        <f>IF(AND(9&gt;=$F$5,9&lt;$F$5+$G$5),$E$5/$G$5,0)</f>
        <v>0</v>
      </c>
      <c r="Q5" s="9">
        <f>IF(AND(10&gt;=$F$5,10&lt;$F$5+$G$5),$E$5/$G$5,0)</f>
        <v>0</v>
      </c>
      <c r="R5" s="9">
        <f>IF(AND(11&gt;=$F$5,11&lt;$F$5+$G$5),$E$5/$G$5,0)</f>
        <v>0</v>
      </c>
      <c r="S5" s="9">
        <f>IF(AND(12&gt;=$F$5,12&lt;$F$5+$G$5),$E$5/$G$5,0)</f>
        <v>0</v>
      </c>
      <c r="T5" s="9">
        <f>IF(AND(13&gt;=$F$5,13&lt;$F$5+$G$5),$E$5/$G$5,0)</f>
        <v>0</v>
      </c>
      <c r="U5" s="9">
        <f>IF(AND(14&gt;=$F$5,14&lt;$F$5+$G$5),$E$5/$G$5,0)</f>
        <v>0</v>
      </c>
      <c r="V5" s="9">
        <f>IF(AND(15&gt;=$F$5,15&lt;$F$5+$G$5),$E$5/$G$5,0)</f>
        <v>0</v>
      </c>
      <c r="W5" s="9">
        <f>IF(AND(16&gt;=$F$5,16&lt;$F$5+$G$5),$E$5/$G$5,0)</f>
        <v>0</v>
      </c>
      <c r="X5" s="9">
        <f>IF(AND(17&gt;=$F$5,17&lt;$F$5+$G$5),$E$5/$G$5,0)</f>
        <v>0</v>
      </c>
      <c r="Y5" s="9">
        <f>IF(AND(18&gt;=$F$5,18&lt;$F$5+$G$5),$E$5/$G$5,0)</f>
        <v>0</v>
      </c>
      <c r="Z5" s="9">
        <f>IF(AND(19&gt;=$F$5,19&lt;$F$5+$G$5),$E$5/$G$5,0)</f>
        <v>0</v>
      </c>
      <c r="AA5" s="9">
        <f>IF(AND(20&gt;=$F$5,20&lt;$F$5+$G$5),$E$5/$G$5,0)</f>
        <v>0</v>
      </c>
      <c r="AB5" s="9">
        <f>IF(AND(21&gt;=$F$5,21&lt;$F$5+$G$5),$E$5/$G$5,0)</f>
        <v>0</v>
      </c>
      <c r="AC5" s="9">
        <f>IF(AND(22&gt;=$F$5,22&lt;$F$5+$G$5),$E$5/$G$5,0)</f>
        <v>0</v>
      </c>
      <c r="AD5" s="9">
        <f>IF(AND(23&gt;=$F$5,23&lt;$F$5+$G$5),$E$5/$G$5,0)</f>
        <v>0</v>
      </c>
      <c r="AE5" s="9">
        <f>IF(AND(24&gt;=$F$5,24&lt;$F$5+$G$5),$E$5/$G$5,0)</f>
        <v>0</v>
      </c>
      <c r="AF5" s="9">
        <f>IF(AND(25&gt;=$F$5,25&lt;$F$5+$G$5),$E$5/$G$5,0)</f>
        <v>0</v>
      </c>
      <c r="AG5" s="9">
        <f>IF(AND(26&gt;=$F$5,26&lt;$F$5+$G$5),$E$5/$G$5,0)</f>
        <v>0</v>
      </c>
      <c r="AH5" s="9">
        <f>IF(AND(27&gt;=$F$5,27&lt;$F$5+$G$5),$E$5/$G$5,0)</f>
        <v>0</v>
      </c>
      <c r="AI5" s="9">
        <f>IF(AND(28&gt;=$F$5,28&lt;$F$5+$G$5),$E$5/$G$5,0)</f>
        <v>0</v>
      </c>
      <c r="AJ5" s="9">
        <f>IF(AND(29&gt;=$F$5,29&lt;$F$5+$G$5),$E$5/$G$5,0)</f>
        <v>0</v>
      </c>
      <c r="AK5" s="9">
        <f>IF(AND(30&gt;=$F$5,30&lt;$F$5+$G$5),$E$5/$G$5,0)</f>
        <v>0</v>
      </c>
      <c r="AL5" s="9">
        <f>IF(AND(31&gt;=$F$5,31&lt;$F$5+$G$5),$E$5/$G$5,0)</f>
        <v>0</v>
      </c>
      <c r="AM5" s="9">
        <f>IF(AND(32&gt;=$F$5,32&lt;$F$5+$G$5),$E$5/$G$5,0)</f>
        <v>0</v>
      </c>
      <c r="AN5" s="9">
        <f>IF(AND(33&gt;=$F$5,33&lt;$F$5+$G$5),$E$5/$G$5,0)</f>
        <v>0</v>
      </c>
      <c r="AO5" s="9">
        <f>IF(AND(34&gt;=$F$5,34&lt;$F$5+$G$5),$E$5/$G$5,0)</f>
        <v>0</v>
      </c>
      <c r="AP5" s="9">
        <f>IF(AND(35&gt;=$F$5,35&lt;$F$5+$G$5),$E$5/$G$5,0)</f>
        <v>0</v>
      </c>
      <c r="AQ5" s="9">
        <f>IF(AND(36&gt;=$F$5,36&lt;$F$5+$G$5),$E$5/$G$5,0)</f>
        <v>0</v>
      </c>
      <c r="AR5" s="9">
        <f>IF(AND(37&gt;=$F$5,37&lt;$F$5+$G$5),$E$5/$G$5,0)</f>
        <v>0</v>
      </c>
      <c r="AS5" s="9">
        <f>IF(AND(38&gt;=$F$5,38&lt;$F$5+$G$5),$E$5/$G$5,0)</f>
        <v>0</v>
      </c>
      <c r="AT5" s="9">
        <f>IF(AND(39&gt;=$F$5,39&lt;$F$5+$G$5),$E$5/$G$5,0)</f>
        <v>0</v>
      </c>
      <c r="AU5" s="9">
        <f>IF(AND(40&gt;=$F$5,40&lt;$F$5+$G$5),$E$5/$G$5,0)</f>
        <v>0</v>
      </c>
      <c r="AV5" s="9">
        <f>IF(AND(41&gt;=$F$5,41&lt;$F$5+$G$5),$E$5/$G$5,0)</f>
        <v>0</v>
      </c>
      <c r="AW5" s="9">
        <f>IF(AND(42&gt;=$F$5,42&lt;$F$5+$G$5),$E$5/$G$5,0)</f>
        <v>0</v>
      </c>
      <c r="AX5" s="9">
        <f>IF(AND(43&gt;=$F$5,43&lt;$F$5+$G$5),$E$5/$G$5,0)</f>
        <v>0</v>
      </c>
      <c r="AY5" s="9">
        <f>IF(AND(44&gt;=$F$5,44&lt;$F$5+$G$5),$E$5/$G$5,0)</f>
        <v>0</v>
      </c>
      <c r="AZ5" s="9">
        <f>IF(AND(45&gt;=$F$5,45&lt;$F$5+$G$5),$E$5/$G$5,0)</f>
        <v>0</v>
      </c>
      <c r="BA5" s="9">
        <f>IF(AND(46&gt;=$F$5,46&lt;$F$5+$G$5),$E$5/$G$5,0)</f>
        <v>0</v>
      </c>
      <c r="BB5" s="9">
        <f>IF(AND(47&gt;=$F$5,47&lt;$F$5+$G$5),$E$5/$G$5,0)</f>
        <v>0</v>
      </c>
      <c r="BC5" s="9">
        <f>IF(AND(48&gt;=$F$5,48&lt;$F$5+$G$5),$E$5/$G$5,0)</f>
        <v>0</v>
      </c>
      <c r="BD5" s="9">
        <f>IF(AND(49&gt;=$F$5,49&lt;$F$5+$G$5),$E$5/$G$5,0)</f>
        <v>0</v>
      </c>
      <c r="BE5" s="9">
        <f>IF(AND(50&gt;=$F$5,50&lt;$F$5+$G$5),$E$5/$G$5,0)</f>
        <v>0</v>
      </c>
      <c r="BF5" s="9">
        <f>IF(AND(51&gt;=$F$5,51&lt;$F$5+$G$5),$E$5/$G$5,0)</f>
        <v>0</v>
      </c>
      <c r="BG5" s="9">
        <f>IF(AND(52&gt;=$F$5,52&lt;$F$5+$G$5),$E$5/$G$5,0)</f>
        <v>0</v>
      </c>
      <c r="BH5" s="9">
        <f>IF(AND(53&gt;=$F$5,53&lt;$F$5+$G$5),$E$5/$G$5,0)</f>
        <v>0</v>
      </c>
      <c r="BI5" s="9">
        <f>IF(AND(54&gt;=$F$5,54&lt;$F$5+$G$5),$E$5/$G$5,0)</f>
        <v>0</v>
      </c>
      <c r="BJ5" s="9">
        <f>IF(AND(55&gt;=$F$5,55&lt;$F$5+$G$5),$E$5/$G$5,0)</f>
        <v>0</v>
      </c>
      <c r="BK5" s="9">
        <f>IF(AND(56&gt;=$F$5,56&lt;$F$5+$G$5),$E$5/$G$5,0)</f>
        <v>0</v>
      </c>
      <c r="BL5" s="9">
        <f>IF(AND(57&gt;=$F$5,57&lt;$F$5+$G$5),$E$5/$G$5,0)</f>
        <v>0</v>
      </c>
      <c r="BM5" s="9">
        <f>IF(AND(58&gt;=$F$5,58&lt;$F$5+$G$5),$E$5/$G$5,0)</f>
        <v>0</v>
      </c>
      <c r="BN5" s="9">
        <f>IF(AND(59&gt;=$F$5,59&lt;$F$5+$G$5),$E$5/$G$5,0)</f>
        <v>0</v>
      </c>
      <c r="BO5" s="9">
        <f>IF(AND(60&gt;=$F$5,60&lt;$F$5+$G$5),$E$5/$G$5,0)</f>
        <v>0</v>
      </c>
    </row>
    <row r="6" spans="1:67" x14ac:dyDescent="0.25">
      <c r="A6" s="60">
        <v>2</v>
      </c>
      <c r="B6" s="29" t="s">
        <v>223</v>
      </c>
      <c r="C6" s="60" t="s">
        <v>224</v>
      </c>
      <c r="D6" s="60"/>
      <c r="E6" s="136">
        <v>0</v>
      </c>
      <c r="F6" s="137">
        <v>4</v>
      </c>
      <c r="G6" s="137">
        <v>2</v>
      </c>
      <c r="H6" s="9">
        <f>IF(AND(1&gt;=$F$6,1&lt;$F$6+$G$6),$E$6/$G$6,0)</f>
        <v>0</v>
      </c>
      <c r="I6" s="9">
        <f>IF(AND(2&gt;=$F$6,2&lt;$F$6+$G$6),$E$6/$G$6,0)</f>
        <v>0</v>
      </c>
      <c r="J6" s="9">
        <f>IF(AND(3&gt;=$F$6,3&lt;$F$6+$G$6),$E$6/$G$6,0)</f>
        <v>0</v>
      </c>
      <c r="K6" s="9">
        <f>IF(AND(4&gt;=$F$6,4&lt;$F$6+$G$6),$E$6/$G$6,0)</f>
        <v>0</v>
      </c>
      <c r="L6" s="9">
        <f>IF(AND(5&gt;=$F$6,5&lt;$F$6+$G$6),$E$6/$G$6,0)</f>
        <v>0</v>
      </c>
      <c r="M6" s="9">
        <f>IF(AND(6&gt;=$F$6,6&lt;$F$6+$G$6),$E$6/$G$6,0)</f>
        <v>0</v>
      </c>
      <c r="N6" s="9">
        <f>IF(AND(7&gt;=$F$6,7&lt;$F$6+$G$6),$E$6/$G$6,0)</f>
        <v>0</v>
      </c>
      <c r="O6" s="9">
        <f>IF(AND(8&gt;=$F$6,8&lt;$F$6+$G$6),$E$6/$G$6,0)</f>
        <v>0</v>
      </c>
      <c r="P6" s="9">
        <f>IF(AND(9&gt;=$F$6,9&lt;$F$6+$G$6),$E$6/$G$6,0)</f>
        <v>0</v>
      </c>
      <c r="Q6" s="9">
        <f>IF(AND(10&gt;=$F$6,10&lt;$F$6+$G$6),$E$6/$G$6,0)</f>
        <v>0</v>
      </c>
      <c r="R6" s="9">
        <f>IF(AND(11&gt;=$F$6,11&lt;$F$6+$G$6),$E$6/$G$6,0)</f>
        <v>0</v>
      </c>
      <c r="S6" s="9">
        <f>IF(AND(12&gt;=$F$6,12&lt;$F$6+$G$6),$E$6/$G$6,0)</f>
        <v>0</v>
      </c>
      <c r="T6" s="9">
        <f>IF(AND(13&gt;=$F$6,13&lt;$F$6+$G$6),$E$6/$G$6,0)</f>
        <v>0</v>
      </c>
      <c r="U6" s="9">
        <f>IF(AND(14&gt;=$F$6,14&lt;$F$6+$G$6),$E$6/$G$6,0)</f>
        <v>0</v>
      </c>
      <c r="V6" s="9">
        <f>IF(AND(15&gt;=$F$6,15&lt;$F$6+$G$6),$E$6/$G$6,0)</f>
        <v>0</v>
      </c>
      <c r="W6" s="9">
        <f>IF(AND(16&gt;=$F$6,16&lt;$F$6+$G$6),$E$6/$G$6,0)</f>
        <v>0</v>
      </c>
      <c r="X6" s="9">
        <f>IF(AND(17&gt;=$F$6,17&lt;$F$6+$G$6),$E$6/$G$6,0)</f>
        <v>0</v>
      </c>
      <c r="Y6" s="9">
        <f>IF(AND(18&gt;=$F$6,18&lt;$F$6+$G$6),$E$6/$G$6,0)</f>
        <v>0</v>
      </c>
      <c r="Z6" s="9">
        <f>IF(AND(19&gt;=$F$6,19&lt;$F$6+$G$6),$E$6/$G$6,0)</f>
        <v>0</v>
      </c>
      <c r="AA6" s="9">
        <f>IF(AND(20&gt;=$F$6,20&lt;$F$6+$G$6),$E$6/$G$6,0)</f>
        <v>0</v>
      </c>
      <c r="AB6" s="9">
        <f>IF(AND(21&gt;=$F$6,21&lt;$F$6+$G$6),$E$6/$G$6,0)</f>
        <v>0</v>
      </c>
      <c r="AC6" s="9">
        <f>IF(AND(22&gt;=$F$6,22&lt;$F$6+$G$6),$E$6/$G$6,0)</f>
        <v>0</v>
      </c>
      <c r="AD6" s="9">
        <f>IF(AND(23&gt;=$F$6,23&lt;$F$6+$G$6),$E$6/$G$6,0)</f>
        <v>0</v>
      </c>
      <c r="AE6" s="9">
        <f>IF(AND(24&gt;=$F$6,24&lt;$F$6+$G$6),$E$6/$G$6,0)</f>
        <v>0</v>
      </c>
      <c r="AF6" s="9">
        <f>IF(AND(25&gt;=$F$6,25&lt;$F$6+$G$6),$E$6/$G$6,0)</f>
        <v>0</v>
      </c>
      <c r="AG6" s="9">
        <f>IF(AND(26&gt;=$F$6,26&lt;$F$6+$G$6),$E$6/$G$6,0)</f>
        <v>0</v>
      </c>
      <c r="AH6" s="9">
        <f>IF(AND(27&gt;=$F$6,27&lt;$F$6+$G$6),$E$6/$G$6,0)</f>
        <v>0</v>
      </c>
      <c r="AI6" s="9">
        <f>IF(AND(28&gt;=$F$6,28&lt;$F$6+$G$6),$E$6/$G$6,0)</f>
        <v>0</v>
      </c>
      <c r="AJ6" s="9">
        <f>IF(AND(29&gt;=$F$6,29&lt;$F$6+$G$6),$E$6/$G$6,0)</f>
        <v>0</v>
      </c>
      <c r="AK6" s="9">
        <f>IF(AND(30&gt;=$F$6,30&lt;$F$6+$G$6),$E$6/$G$6,0)</f>
        <v>0</v>
      </c>
      <c r="AL6" s="9">
        <f>IF(AND(31&gt;=$F$6,31&lt;$F$6+$G$6),$E$6/$G$6,0)</f>
        <v>0</v>
      </c>
      <c r="AM6" s="9">
        <f>IF(AND(32&gt;=$F$6,32&lt;$F$6+$G$6),$E$6/$G$6,0)</f>
        <v>0</v>
      </c>
      <c r="AN6" s="9">
        <f>IF(AND(33&gt;=$F$6,33&lt;$F$6+$G$6),$E$6/$G$6,0)</f>
        <v>0</v>
      </c>
      <c r="AO6" s="9">
        <f>IF(AND(34&gt;=$F$6,34&lt;$F$6+$G$6),$E$6/$G$6,0)</f>
        <v>0</v>
      </c>
      <c r="AP6" s="9">
        <f>IF(AND(35&gt;=$F$6,35&lt;$F$6+$G$6),$E$6/$G$6,0)</f>
        <v>0</v>
      </c>
      <c r="AQ6" s="9">
        <f>IF(AND(36&gt;=$F$6,36&lt;$F$6+$G$6),$E$6/$G$6,0)</f>
        <v>0</v>
      </c>
      <c r="AR6" s="9">
        <f>IF(AND(37&gt;=$F$6,37&lt;$F$6+$G$6),$E$6/$G$6,0)</f>
        <v>0</v>
      </c>
      <c r="AS6" s="9">
        <f>IF(AND(38&gt;=$F$6,38&lt;$F$6+$G$6),$E$6/$G$6,0)</f>
        <v>0</v>
      </c>
      <c r="AT6" s="9">
        <f>IF(AND(39&gt;=$F$6,39&lt;$F$6+$G$6),$E$6/$G$6,0)</f>
        <v>0</v>
      </c>
      <c r="AU6" s="9">
        <f>IF(AND(40&gt;=$F$6,40&lt;$F$6+$G$6),$E$6/$G$6,0)</f>
        <v>0</v>
      </c>
      <c r="AV6" s="9">
        <f>IF(AND(41&gt;=$F$6,41&lt;$F$6+$G$6),$E$6/$G$6,0)</f>
        <v>0</v>
      </c>
      <c r="AW6" s="9">
        <f>IF(AND(42&gt;=$F$6,42&lt;$F$6+$G$6),$E$6/$G$6,0)</f>
        <v>0</v>
      </c>
      <c r="AX6" s="9">
        <f>IF(AND(43&gt;=$F$6,43&lt;$F$6+$G$6),$E$6/$G$6,0)</f>
        <v>0</v>
      </c>
      <c r="AY6" s="9">
        <f>IF(AND(44&gt;=$F$6,44&lt;$F$6+$G$6),$E$6/$G$6,0)</f>
        <v>0</v>
      </c>
      <c r="AZ6" s="9">
        <f>IF(AND(45&gt;=$F$6,45&lt;$F$6+$G$6),$E$6/$G$6,0)</f>
        <v>0</v>
      </c>
      <c r="BA6" s="9">
        <f>IF(AND(46&gt;=$F$6,46&lt;$F$6+$G$6),$E$6/$G$6,0)</f>
        <v>0</v>
      </c>
      <c r="BB6" s="9">
        <f>IF(AND(47&gt;=$F$6,47&lt;$F$6+$G$6),$E$6/$G$6,0)</f>
        <v>0</v>
      </c>
      <c r="BC6" s="9">
        <f>IF(AND(48&gt;=$F$6,48&lt;$F$6+$G$6),$E$6/$G$6,0)</f>
        <v>0</v>
      </c>
      <c r="BD6" s="9">
        <f>IF(AND(49&gt;=$F$6,49&lt;$F$6+$G$6),$E$6/$G$6,0)</f>
        <v>0</v>
      </c>
      <c r="BE6" s="9">
        <f>IF(AND(50&gt;=$F$6,50&lt;$F$6+$G$6),$E$6/$G$6,0)</f>
        <v>0</v>
      </c>
      <c r="BF6" s="9">
        <f>IF(AND(51&gt;=$F$6,51&lt;$F$6+$G$6),$E$6/$G$6,0)</f>
        <v>0</v>
      </c>
      <c r="BG6" s="9">
        <f>IF(AND(52&gt;=$F$6,52&lt;$F$6+$G$6),$E$6/$G$6,0)</f>
        <v>0</v>
      </c>
      <c r="BH6" s="9">
        <f>IF(AND(53&gt;=$F$6,53&lt;$F$6+$G$6),$E$6/$G$6,0)</f>
        <v>0</v>
      </c>
      <c r="BI6" s="9">
        <f>IF(AND(54&gt;=$F$6,54&lt;$F$6+$G$6),$E$6/$G$6,0)</f>
        <v>0</v>
      </c>
      <c r="BJ6" s="9">
        <f>IF(AND(55&gt;=$F$6,55&lt;$F$6+$G$6),$E$6/$G$6,0)</f>
        <v>0</v>
      </c>
      <c r="BK6" s="9">
        <f>IF(AND(56&gt;=$F$6,56&lt;$F$6+$G$6),$E$6/$G$6,0)</f>
        <v>0</v>
      </c>
      <c r="BL6" s="9">
        <f>IF(AND(57&gt;=$F$6,57&lt;$F$6+$G$6),$E$6/$G$6,0)</f>
        <v>0</v>
      </c>
      <c r="BM6" s="9">
        <f>IF(AND(58&gt;=$F$6,58&lt;$F$6+$G$6),$E$6/$G$6,0)</f>
        <v>0</v>
      </c>
      <c r="BN6" s="9">
        <f>IF(AND(59&gt;=$F$6,59&lt;$F$6+$G$6),$E$6/$G$6,0)</f>
        <v>0</v>
      </c>
      <c r="BO6" s="9">
        <f>IF(AND(60&gt;=$F$6,60&lt;$F$6+$G$6),$E$6/$G$6,0)</f>
        <v>0</v>
      </c>
    </row>
    <row r="7" spans="1:67" x14ac:dyDescent="0.25">
      <c r="A7" s="60">
        <v>3</v>
      </c>
      <c r="B7" s="60" t="s">
        <v>225</v>
      </c>
      <c r="C7" s="60" t="s">
        <v>226</v>
      </c>
      <c r="D7" s="60"/>
      <c r="E7" s="136">
        <v>0</v>
      </c>
      <c r="F7" s="137">
        <v>3</v>
      </c>
      <c r="G7" s="137">
        <v>1</v>
      </c>
      <c r="H7" s="9">
        <f>IF(AND(1&gt;=$F$7,1&lt;$F$7+$G$7),$E$7/$G$7,0)</f>
        <v>0</v>
      </c>
      <c r="I7" s="9">
        <f>IF(AND(2&gt;=$F$7,2&lt;$F$7+$G$7),$E$7/$G$7,0)</f>
        <v>0</v>
      </c>
      <c r="J7" s="9">
        <f>IF(AND(3&gt;=$F$7,3&lt;$F$7+$G$7),$E$7/$G$7,0)</f>
        <v>0</v>
      </c>
      <c r="K7" s="9">
        <f>IF(AND(4&gt;=$F$7,4&lt;$F$7+$G$7),$E$7/$G$7,0)</f>
        <v>0</v>
      </c>
      <c r="L7" s="9">
        <f>IF(AND(5&gt;=$F$7,5&lt;$F$7+$G$7),$E$7/$G$7,0)</f>
        <v>0</v>
      </c>
      <c r="M7" s="9">
        <f>IF(AND(6&gt;=$F$7,6&lt;$F$7+$G$7),$E$7/$G$7,0)</f>
        <v>0</v>
      </c>
      <c r="N7" s="9">
        <f>IF(AND(7&gt;=$F$7,7&lt;$F$7+$G$7),$E$7/$G$7,0)</f>
        <v>0</v>
      </c>
      <c r="O7" s="9">
        <f>IF(AND(8&gt;=$F$7,8&lt;$F$7+$G$7),$E$7/$G$7,0)</f>
        <v>0</v>
      </c>
      <c r="P7" s="9">
        <f>IF(AND(9&gt;=$F$7,9&lt;$F$7+$G$7),$E$7/$G$7,0)</f>
        <v>0</v>
      </c>
      <c r="Q7" s="9">
        <f>IF(AND(10&gt;=$F$7,10&lt;$F$7+$G$7),$E$7/$G$7,0)</f>
        <v>0</v>
      </c>
      <c r="R7" s="9">
        <f>IF(AND(11&gt;=$F$7,11&lt;$F$7+$G$7),$E$7/$G$7,0)</f>
        <v>0</v>
      </c>
      <c r="S7" s="9">
        <f>IF(AND(12&gt;=$F$7,12&lt;$F$7+$G$7),$E$7/$G$7,0)</f>
        <v>0</v>
      </c>
      <c r="T7" s="9">
        <f>IF(AND(13&gt;=$F$7,13&lt;$F$7+$G$7),$E$7/$G$7,0)</f>
        <v>0</v>
      </c>
      <c r="U7" s="9">
        <f>IF(AND(14&gt;=$F$7,14&lt;$F$7+$G$7),$E$7/$G$7,0)</f>
        <v>0</v>
      </c>
      <c r="V7" s="9">
        <f>IF(AND(15&gt;=$F$7,15&lt;$F$7+$G$7),$E$7/$G$7,0)</f>
        <v>0</v>
      </c>
      <c r="W7" s="9">
        <f>IF(AND(16&gt;=$F$7,16&lt;$F$7+$G$7),$E$7/$G$7,0)</f>
        <v>0</v>
      </c>
      <c r="X7" s="9">
        <f>IF(AND(17&gt;=$F$7,17&lt;$F$7+$G$7),$E$7/$G$7,0)</f>
        <v>0</v>
      </c>
      <c r="Y7" s="9">
        <f>IF(AND(18&gt;=$F$7,18&lt;$F$7+$G$7),$E$7/$G$7,0)</f>
        <v>0</v>
      </c>
      <c r="Z7" s="9">
        <f>IF(AND(19&gt;=$F$7,19&lt;$F$7+$G$7),$E$7/$G$7,0)</f>
        <v>0</v>
      </c>
      <c r="AA7" s="9">
        <f>IF(AND(20&gt;=$F$7,20&lt;$F$7+$G$7),$E$7/$G$7,0)</f>
        <v>0</v>
      </c>
      <c r="AB7" s="9">
        <f>IF(AND(21&gt;=$F$7,21&lt;$F$7+$G$7),$E$7/$G$7,0)</f>
        <v>0</v>
      </c>
      <c r="AC7" s="9">
        <f>IF(AND(22&gt;=$F$7,22&lt;$F$7+$G$7),$E$7/$G$7,0)</f>
        <v>0</v>
      </c>
      <c r="AD7" s="9">
        <f>IF(AND(23&gt;=$F$7,23&lt;$F$7+$G$7),$E$7/$G$7,0)</f>
        <v>0</v>
      </c>
      <c r="AE7" s="9">
        <f>IF(AND(24&gt;=$F$7,24&lt;$F$7+$G$7),$E$7/$G$7,0)</f>
        <v>0</v>
      </c>
      <c r="AF7" s="9">
        <f>IF(AND(25&gt;=$F$7,25&lt;$F$7+$G$7),$E$7/$G$7,0)</f>
        <v>0</v>
      </c>
      <c r="AG7" s="9">
        <f>IF(AND(26&gt;=$F$7,26&lt;$F$7+$G$7),$E$7/$G$7,0)</f>
        <v>0</v>
      </c>
      <c r="AH7" s="9">
        <f>IF(AND(27&gt;=$F$7,27&lt;$F$7+$G$7),$E$7/$G$7,0)</f>
        <v>0</v>
      </c>
      <c r="AI7" s="9">
        <f>IF(AND(28&gt;=$F$7,28&lt;$F$7+$G$7),$E$7/$G$7,0)</f>
        <v>0</v>
      </c>
      <c r="AJ7" s="9">
        <f>IF(AND(29&gt;=$F$7,29&lt;$F$7+$G$7),$E$7/$G$7,0)</f>
        <v>0</v>
      </c>
      <c r="AK7" s="9">
        <f>IF(AND(30&gt;=$F$7,30&lt;$F$7+$G$7),$E$7/$G$7,0)</f>
        <v>0</v>
      </c>
      <c r="AL7" s="9">
        <f>IF(AND(31&gt;=$F$7,31&lt;$F$7+$G$7),$E$7/$G$7,0)</f>
        <v>0</v>
      </c>
      <c r="AM7" s="9">
        <f>IF(AND(32&gt;=$F$7,32&lt;$F$7+$G$7),$E$7/$G$7,0)</f>
        <v>0</v>
      </c>
      <c r="AN7" s="9">
        <f>IF(AND(33&gt;=$F$7,33&lt;$F$7+$G$7),$E$7/$G$7,0)</f>
        <v>0</v>
      </c>
      <c r="AO7" s="9">
        <f>IF(AND(34&gt;=$F$7,34&lt;$F$7+$G$7),$E$7/$G$7,0)</f>
        <v>0</v>
      </c>
      <c r="AP7" s="9">
        <f>IF(AND(35&gt;=$F$7,35&lt;$F$7+$G$7),$E$7/$G$7,0)</f>
        <v>0</v>
      </c>
      <c r="AQ7" s="9">
        <f>IF(AND(36&gt;=$F$7,36&lt;$F$7+$G$7),$E$7/$G$7,0)</f>
        <v>0</v>
      </c>
      <c r="AR7" s="9">
        <f>IF(AND(37&gt;=$F$7,37&lt;$F$7+$G$7),$E$7/$G$7,0)</f>
        <v>0</v>
      </c>
      <c r="AS7" s="9">
        <f>IF(AND(38&gt;=$F$7,38&lt;$F$7+$G$7),$E$7/$G$7,0)</f>
        <v>0</v>
      </c>
      <c r="AT7" s="9">
        <f>IF(AND(39&gt;=$F$7,39&lt;$F$7+$G$7),$E$7/$G$7,0)</f>
        <v>0</v>
      </c>
      <c r="AU7" s="9">
        <f>IF(AND(40&gt;=$F$7,40&lt;$F$7+$G$7),$E$7/$G$7,0)</f>
        <v>0</v>
      </c>
      <c r="AV7" s="9">
        <f>IF(AND(41&gt;=$F$7,41&lt;$F$7+$G$7),$E$7/$G$7,0)</f>
        <v>0</v>
      </c>
      <c r="AW7" s="9">
        <f>IF(AND(42&gt;=$F$7,42&lt;$F$7+$G$7),$E$7/$G$7,0)</f>
        <v>0</v>
      </c>
      <c r="AX7" s="9">
        <f>IF(AND(43&gt;=$F$7,43&lt;$F$7+$G$7),$E$7/$G$7,0)</f>
        <v>0</v>
      </c>
      <c r="AY7" s="9">
        <f>IF(AND(44&gt;=$F$7,44&lt;$F$7+$G$7),$E$7/$G$7,0)</f>
        <v>0</v>
      </c>
      <c r="AZ7" s="9">
        <f>IF(AND(45&gt;=$F$7,45&lt;$F$7+$G$7),$E$7/$G$7,0)</f>
        <v>0</v>
      </c>
      <c r="BA7" s="9">
        <f>IF(AND(46&gt;=$F$7,46&lt;$F$7+$G$7),$E$7/$G$7,0)</f>
        <v>0</v>
      </c>
      <c r="BB7" s="9">
        <f>IF(AND(47&gt;=$F$7,47&lt;$F$7+$G$7),$E$7/$G$7,0)</f>
        <v>0</v>
      </c>
      <c r="BC7" s="9">
        <f>IF(AND(48&gt;=$F$7,48&lt;$F$7+$G$7),$E$7/$G$7,0)</f>
        <v>0</v>
      </c>
      <c r="BD7" s="9">
        <f>IF(AND(49&gt;=$F$7,49&lt;$F$7+$G$7),$E$7/$G$7,0)</f>
        <v>0</v>
      </c>
      <c r="BE7" s="9">
        <f>IF(AND(50&gt;=$F$7,50&lt;$F$7+$G$7),$E$7/$G$7,0)</f>
        <v>0</v>
      </c>
      <c r="BF7" s="9">
        <f>IF(AND(51&gt;=$F$7,51&lt;$F$7+$G$7),$E$7/$G$7,0)</f>
        <v>0</v>
      </c>
      <c r="BG7" s="9">
        <f>IF(AND(52&gt;=$F$7,52&lt;$F$7+$G$7),$E$7/$G$7,0)</f>
        <v>0</v>
      </c>
      <c r="BH7" s="9">
        <f>IF(AND(53&gt;=$F$7,53&lt;$F$7+$G$7),$E$7/$G$7,0)</f>
        <v>0</v>
      </c>
      <c r="BI7" s="9">
        <f>IF(AND(54&gt;=$F$7,54&lt;$F$7+$G$7),$E$7/$G$7,0)</f>
        <v>0</v>
      </c>
      <c r="BJ7" s="9">
        <f>IF(AND(55&gt;=$F$7,55&lt;$F$7+$G$7),$E$7/$G$7,0)</f>
        <v>0</v>
      </c>
      <c r="BK7" s="9">
        <f>IF(AND(56&gt;=$F$7,56&lt;$F$7+$G$7),$E$7/$G$7,0)</f>
        <v>0</v>
      </c>
      <c r="BL7" s="9">
        <f>IF(AND(57&gt;=$F$7,57&lt;$F$7+$G$7),$E$7/$G$7,0)</f>
        <v>0</v>
      </c>
      <c r="BM7" s="9">
        <f>IF(AND(58&gt;=$F$7,58&lt;$F$7+$G$7),$E$7/$G$7,0)</f>
        <v>0</v>
      </c>
      <c r="BN7" s="9">
        <f>IF(AND(59&gt;=$F$7,59&lt;$F$7+$G$7),$E$7/$G$7,0)</f>
        <v>0</v>
      </c>
      <c r="BO7" s="9">
        <f>IF(AND(60&gt;=$F$7,60&lt;$F$7+$G$7),$E$7/$G$7,0)</f>
        <v>0</v>
      </c>
    </row>
    <row r="8" spans="1:67" x14ac:dyDescent="0.25">
      <c r="A8" s="60">
        <v>4</v>
      </c>
      <c r="B8" s="60" t="s">
        <v>227</v>
      </c>
      <c r="C8" s="60" t="s">
        <v>226</v>
      </c>
      <c r="D8" s="60"/>
      <c r="E8" s="136">
        <v>0</v>
      </c>
      <c r="F8" s="137">
        <v>6</v>
      </c>
      <c r="G8" s="137">
        <v>1</v>
      </c>
      <c r="H8" s="9">
        <f>IF(AND(1&gt;=$F$8,1&lt;$F$8+$G$8),$E$8/$G$8,0)</f>
        <v>0</v>
      </c>
      <c r="I8" s="9">
        <f>IF(AND(2&gt;=$F$8,2&lt;$F$8+$G$8),$E$8/$G$8,0)</f>
        <v>0</v>
      </c>
      <c r="J8" s="9">
        <f>IF(AND(3&gt;=$F$8,3&lt;$F$8+$G$8),$E$8/$G$8,0)</f>
        <v>0</v>
      </c>
      <c r="K8" s="9">
        <f>IF(AND(4&gt;=$F$8,4&lt;$F$8+$G$8),$E$8/$G$8,0)</f>
        <v>0</v>
      </c>
      <c r="L8" s="9">
        <f>IF(AND(5&gt;=$F$8,5&lt;$F$8+$G$8),$E$8/$G$8,0)</f>
        <v>0</v>
      </c>
      <c r="M8" s="9">
        <f>IF(AND(6&gt;=$F$8,6&lt;$F$8+$G$8),$E$8/$G$8,0)</f>
        <v>0</v>
      </c>
      <c r="N8" s="9">
        <f>IF(AND(7&gt;=$F$8,7&lt;$F$8+$G$8),$E$8/$G$8,0)</f>
        <v>0</v>
      </c>
      <c r="O8" s="9">
        <f>IF(AND(8&gt;=$F$8,8&lt;$F$8+$G$8),$E$8/$G$8,0)</f>
        <v>0</v>
      </c>
      <c r="P8" s="9">
        <f>IF(AND(9&gt;=$F$8,9&lt;$F$8+$G$8),$E$8/$G$8,0)</f>
        <v>0</v>
      </c>
      <c r="Q8" s="9">
        <f>IF(AND(10&gt;=$F$8,10&lt;$F$8+$G$8),$E$8/$G$8,0)</f>
        <v>0</v>
      </c>
      <c r="R8" s="9">
        <f>IF(AND(11&gt;=$F$8,11&lt;$F$8+$G$8),$E$8/$G$8,0)</f>
        <v>0</v>
      </c>
      <c r="S8" s="9">
        <f>IF(AND(12&gt;=$F$8,12&lt;$F$8+$G$8),$E$8/$G$8,0)</f>
        <v>0</v>
      </c>
      <c r="T8" s="9">
        <f>IF(AND(13&gt;=$F$8,13&lt;$F$8+$G$8),$E$8/$G$8,0)</f>
        <v>0</v>
      </c>
      <c r="U8" s="9">
        <f>IF(AND(14&gt;=$F$8,14&lt;$F$8+$G$8),$E$8/$G$8,0)</f>
        <v>0</v>
      </c>
      <c r="V8" s="9">
        <f>IF(AND(15&gt;=$F$8,15&lt;$F$8+$G$8),$E$8/$G$8,0)</f>
        <v>0</v>
      </c>
      <c r="W8" s="9">
        <f>IF(AND(16&gt;=$F$8,16&lt;$F$8+$G$8),$E$8/$G$8,0)</f>
        <v>0</v>
      </c>
      <c r="X8" s="9">
        <f>IF(AND(17&gt;=$F$8,17&lt;$F$8+$G$8),$E$8/$G$8,0)</f>
        <v>0</v>
      </c>
      <c r="Y8" s="9">
        <f>IF(AND(18&gt;=$F$8,18&lt;$F$8+$G$8),$E$8/$G$8,0)</f>
        <v>0</v>
      </c>
      <c r="Z8" s="9">
        <f>IF(AND(19&gt;=$F$8,19&lt;$F$8+$G$8),$E$8/$G$8,0)</f>
        <v>0</v>
      </c>
      <c r="AA8" s="9">
        <f>IF(AND(20&gt;=$F$8,20&lt;$F$8+$G$8),$E$8/$G$8,0)</f>
        <v>0</v>
      </c>
      <c r="AB8" s="9">
        <f>IF(AND(21&gt;=$F$8,21&lt;$F$8+$G$8),$E$8/$G$8,0)</f>
        <v>0</v>
      </c>
      <c r="AC8" s="9">
        <f>IF(AND(22&gt;=$F$8,22&lt;$F$8+$G$8),$E$8/$G$8,0)</f>
        <v>0</v>
      </c>
      <c r="AD8" s="9">
        <f>IF(AND(23&gt;=$F$8,23&lt;$F$8+$G$8),$E$8/$G$8,0)</f>
        <v>0</v>
      </c>
      <c r="AE8" s="9">
        <f>IF(AND(24&gt;=$F$8,24&lt;$F$8+$G$8),$E$8/$G$8,0)</f>
        <v>0</v>
      </c>
      <c r="AF8" s="9">
        <f>IF(AND(25&gt;=$F$8,25&lt;$F$8+$G$8),$E$8/$G$8,0)</f>
        <v>0</v>
      </c>
      <c r="AG8" s="9">
        <f>IF(AND(26&gt;=$F$8,26&lt;$F$8+$G$8),$E$8/$G$8,0)</f>
        <v>0</v>
      </c>
      <c r="AH8" s="9">
        <f>IF(AND(27&gt;=$F$8,27&lt;$F$8+$G$8),$E$8/$G$8,0)</f>
        <v>0</v>
      </c>
      <c r="AI8" s="9">
        <f>IF(AND(28&gt;=$F$8,28&lt;$F$8+$G$8),$E$8/$G$8,0)</f>
        <v>0</v>
      </c>
      <c r="AJ8" s="9">
        <f>IF(AND(29&gt;=$F$8,29&lt;$F$8+$G$8),$E$8/$G$8,0)</f>
        <v>0</v>
      </c>
      <c r="AK8" s="9">
        <f>IF(AND(30&gt;=$F$8,30&lt;$F$8+$G$8),$E$8/$G$8,0)</f>
        <v>0</v>
      </c>
      <c r="AL8" s="9">
        <f>IF(AND(31&gt;=$F$8,31&lt;$F$8+$G$8),$E$8/$G$8,0)</f>
        <v>0</v>
      </c>
      <c r="AM8" s="9">
        <f>IF(AND(32&gt;=$F$8,32&lt;$F$8+$G$8),$E$8/$G$8,0)</f>
        <v>0</v>
      </c>
      <c r="AN8" s="9">
        <f>IF(AND(33&gt;=$F$8,33&lt;$F$8+$G$8),$E$8/$G$8,0)</f>
        <v>0</v>
      </c>
      <c r="AO8" s="9">
        <f>IF(AND(34&gt;=$F$8,34&lt;$F$8+$G$8),$E$8/$G$8,0)</f>
        <v>0</v>
      </c>
      <c r="AP8" s="9">
        <f>IF(AND(35&gt;=$F$8,35&lt;$F$8+$G$8),$E$8/$G$8,0)</f>
        <v>0</v>
      </c>
      <c r="AQ8" s="9">
        <f>IF(AND(36&gt;=$F$8,36&lt;$F$8+$G$8),$E$8/$G$8,0)</f>
        <v>0</v>
      </c>
      <c r="AR8" s="9">
        <f>IF(AND(37&gt;=$F$8,37&lt;$F$8+$G$8),$E$8/$G$8,0)</f>
        <v>0</v>
      </c>
      <c r="AS8" s="9">
        <f>IF(AND(38&gt;=$F$8,38&lt;$F$8+$G$8),$E$8/$G$8,0)</f>
        <v>0</v>
      </c>
      <c r="AT8" s="9">
        <f>IF(AND(39&gt;=$F$8,39&lt;$F$8+$G$8),$E$8/$G$8,0)</f>
        <v>0</v>
      </c>
      <c r="AU8" s="9">
        <f>IF(AND(40&gt;=$F$8,40&lt;$F$8+$G$8),$E$8/$G$8,0)</f>
        <v>0</v>
      </c>
      <c r="AV8" s="9">
        <f>IF(AND(41&gt;=$F$8,41&lt;$F$8+$G$8),$E$8/$G$8,0)</f>
        <v>0</v>
      </c>
      <c r="AW8" s="9">
        <f>IF(AND(42&gt;=$F$8,42&lt;$F$8+$G$8),$E$8/$G$8,0)</f>
        <v>0</v>
      </c>
      <c r="AX8" s="9">
        <f>IF(AND(43&gt;=$F$8,43&lt;$F$8+$G$8),$E$8/$G$8,0)</f>
        <v>0</v>
      </c>
      <c r="AY8" s="9">
        <f>IF(AND(44&gt;=$F$8,44&lt;$F$8+$G$8),$E$8/$G$8,0)</f>
        <v>0</v>
      </c>
      <c r="AZ8" s="9">
        <f>IF(AND(45&gt;=$F$8,45&lt;$F$8+$G$8),$E$8/$G$8,0)</f>
        <v>0</v>
      </c>
      <c r="BA8" s="9">
        <f>IF(AND(46&gt;=$F$8,46&lt;$F$8+$G$8),$E$8/$G$8,0)</f>
        <v>0</v>
      </c>
      <c r="BB8" s="9">
        <f>IF(AND(47&gt;=$F$8,47&lt;$F$8+$G$8),$E$8/$G$8,0)</f>
        <v>0</v>
      </c>
      <c r="BC8" s="9">
        <f>IF(AND(48&gt;=$F$8,48&lt;$F$8+$G$8),$E$8/$G$8,0)</f>
        <v>0</v>
      </c>
      <c r="BD8" s="9">
        <f>IF(AND(49&gt;=$F$8,49&lt;$F$8+$G$8),$E$8/$G$8,0)</f>
        <v>0</v>
      </c>
      <c r="BE8" s="9">
        <f>IF(AND(50&gt;=$F$8,50&lt;$F$8+$G$8),$E$8/$G$8,0)</f>
        <v>0</v>
      </c>
      <c r="BF8" s="9">
        <f>IF(AND(51&gt;=$F$8,51&lt;$F$8+$G$8),$E$8/$G$8,0)</f>
        <v>0</v>
      </c>
      <c r="BG8" s="9">
        <f>IF(AND(52&gt;=$F$8,52&lt;$F$8+$G$8),$E$8/$G$8,0)</f>
        <v>0</v>
      </c>
      <c r="BH8" s="9">
        <f>IF(AND(53&gt;=$F$8,53&lt;$F$8+$G$8),$E$8/$G$8,0)</f>
        <v>0</v>
      </c>
      <c r="BI8" s="9">
        <f>IF(AND(54&gt;=$F$8,54&lt;$F$8+$G$8),$E$8/$G$8,0)</f>
        <v>0</v>
      </c>
      <c r="BJ8" s="9">
        <f>IF(AND(55&gt;=$F$8,55&lt;$F$8+$G$8),$E$8/$G$8,0)</f>
        <v>0</v>
      </c>
      <c r="BK8" s="9">
        <f>IF(AND(56&gt;=$F$8,56&lt;$F$8+$G$8),$E$8/$G$8,0)</f>
        <v>0</v>
      </c>
      <c r="BL8" s="9">
        <f>IF(AND(57&gt;=$F$8,57&lt;$F$8+$G$8),$E$8/$G$8,0)</f>
        <v>0</v>
      </c>
      <c r="BM8" s="9">
        <f>IF(AND(58&gt;=$F$8,58&lt;$F$8+$G$8),$E$8/$G$8,0)</f>
        <v>0</v>
      </c>
      <c r="BN8" s="9">
        <f>IF(AND(59&gt;=$F$8,59&lt;$F$8+$G$8),$E$8/$G$8,0)</f>
        <v>0</v>
      </c>
      <c r="BO8" s="9">
        <f>IF(AND(60&gt;=$F$8,60&lt;$F$8+$G$8),$E$8/$G$8,0)</f>
        <v>0</v>
      </c>
    </row>
    <row r="9" spans="1:67" x14ac:dyDescent="0.25">
      <c r="A9" s="60">
        <v>5</v>
      </c>
      <c r="B9" s="60" t="s">
        <v>228</v>
      </c>
      <c r="C9" s="60" t="s">
        <v>229</v>
      </c>
      <c r="D9" s="60"/>
      <c r="E9" s="136">
        <v>0</v>
      </c>
      <c r="F9" s="137">
        <v>5</v>
      </c>
      <c r="G9" s="137">
        <v>1</v>
      </c>
      <c r="H9" s="9">
        <f>IF(AND(1&gt;=$F$9,1&lt;$F$9+$G$9),$E$9/$G$9,0)</f>
        <v>0</v>
      </c>
      <c r="I9" s="9">
        <f>IF(AND(2&gt;=$F$9,2&lt;$F$9+$G$9),$E$9/$G$9,0)</f>
        <v>0</v>
      </c>
      <c r="J9" s="9">
        <f>IF(AND(3&gt;=$F$9,3&lt;$F$9+$G$9),$E$9/$G$9,0)</f>
        <v>0</v>
      </c>
      <c r="K9" s="9">
        <f>IF(AND(4&gt;=$F$9,4&lt;$F$9+$G$9),$E$9/$G$9,0)</f>
        <v>0</v>
      </c>
      <c r="L9" s="9">
        <f>IF(AND(5&gt;=$F$9,5&lt;$F$9+$G$9),$E$9/$G$9,0)</f>
        <v>0</v>
      </c>
      <c r="M9" s="9">
        <f>IF(AND(6&gt;=$F$9,6&lt;$F$9+$G$9),$E$9/$G$9,0)</f>
        <v>0</v>
      </c>
      <c r="N9" s="9">
        <f>IF(AND(7&gt;=$F$9,7&lt;$F$9+$G$9),$E$9/$G$9,0)</f>
        <v>0</v>
      </c>
      <c r="O9" s="9">
        <f>IF(AND(8&gt;=$F$9,8&lt;$F$9+$G$9),$E$9/$G$9,0)</f>
        <v>0</v>
      </c>
      <c r="P9" s="9">
        <f>IF(AND(9&gt;=$F$9,9&lt;$F$9+$G$9),$E$9/$G$9,0)</f>
        <v>0</v>
      </c>
      <c r="Q9" s="9">
        <f>IF(AND(10&gt;=$F$9,10&lt;$F$9+$G$9),$E$9/$G$9,0)</f>
        <v>0</v>
      </c>
      <c r="R9" s="9">
        <f>IF(AND(11&gt;=$F$9,11&lt;$F$9+$G$9),$E$9/$G$9,0)</f>
        <v>0</v>
      </c>
      <c r="S9" s="9">
        <f>IF(AND(12&gt;=$F$9,12&lt;$F$9+$G$9),$E$9/$G$9,0)</f>
        <v>0</v>
      </c>
      <c r="T9" s="9">
        <f>IF(AND(13&gt;=$F$9,13&lt;$F$9+$G$9),$E$9/$G$9,0)</f>
        <v>0</v>
      </c>
      <c r="U9" s="9">
        <f>IF(AND(14&gt;=$F$9,14&lt;$F$9+$G$9),$E$9/$G$9,0)</f>
        <v>0</v>
      </c>
      <c r="V9" s="9">
        <f>IF(AND(15&gt;=$F$9,15&lt;$F$9+$G$9),$E$9/$G$9,0)</f>
        <v>0</v>
      </c>
      <c r="W9" s="9">
        <f>IF(AND(16&gt;=$F$9,16&lt;$F$9+$G$9),$E$9/$G$9,0)</f>
        <v>0</v>
      </c>
      <c r="X9" s="9">
        <f>IF(AND(17&gt;=$F$9,17&lt;$F$9+$G$9),$E$9/$G$9,0)</f>
        <v>0</v>
      </c>
      <c r="Y9" s="9">
        <f>IF(AND(18&gt;=$F$9,18&lt;$F$9+$G$9),$E$9/$G$9,0)</f>
        <v>0</v>
      </c>
      <c r="Z9" s="9">
        <f>IF(AND(19&gt;=$F$9,19&lt;$F$9+$G$9),$E$9/$G$9,0)</f>
        <v>0</v>
      </c>
      <c r="AA9" s="9">
        <f>IF(AND(20&gt;=$F$9,20&lt;$F$9+$G$9),$E$9/$G$9,0)</f>
        <v>0</v>
      </c>
      <c r="AB9" s="9">
        <f>IF(AND(21&gt;=$F$9,21&lt;$F$9+$G$9),$E$9/$G$9,0)</f>
        <v>0</v>
      </c>
      <c r="AC9" s="9">
        <f>IF(AND(22&gt;=$F$9,22&lt;$F$9+$G$9),$E$9/$G$9,0)</f>
        <v>0</v>
      </c>
      <c r="AD9" s="9">
        <f>IF(AND(23&gt;=$F$9,23&lt;$F$9+$G$9),$E$9/$G$9,0)</f>
        <v>0</v>
      </c>
      <c r="AE9" s="9">
        <f>IF(AND(24&gt;=$F$9,24&lt;$F$9+$G$9),$E$9/$G$9,0)</f>
        <v>0</v>
      </c>
      <c r="AF9" s="9">
        <f>IF(AND(25&gt;=$F$9,25&lt;$F$9+$G$9),$E$9/$G$9,0)</f>
        <v>0</v>
      </c>
      <c r="AG9" s="9">
        <f>IF(AND(26&gt;=$F$9,26&lt;$F$9+$G$9),$E$9/$G$9,0)</f>
        <v>0</v>
      </c>
      <c r="AH9" s="9">
        <f>IF(AND(27&gt;=$F$9,27&lt;$F$9+$G$9),$E$9/$G$9,0)</f>
        <v>0</v>
      </c>
      <c r="AI9" s="9">
        <f>IF(AND(28&gt;=$F$9,28&lt;$F$9+$G$9),$E$9/$G$9,0)</f>
        <v>0</v>
      </c>
      <c r="AJ9" s="9">
        <f>IF(AND(29&gt;=$F$9,29&lt;$F$9+$G$9),$E$9/$G$9,0)</f>
        <v>0</v>
      </c>
      <c r="AK9" s="9">
        <f>IF(AND(30&gt;=$F$9,30&lt;$F$9+$G$9),$E$9/$G$9,0)</f>
        <v>0</v>
      </c>
      <c r="AL9" s="9">
        <f>IF(AND(31&gt;=$F$9,31&lt;$F$9+$G$9),$E$9/$G$9,0)</f>
        <v>0</v>
      </c>
      <c r="AM9" s="9">
        <f>IF(AND(32&gt;=$F$9,32&lt;$F$9+$G$9),$E$9/$G$9,0)</f>
        <v>0</v>
      </c>
      <c r="AN9" s="9">
        <f>IF(AND(33&gt;=$F$9,33&lt;$F$9+$G$9),$E$9/$G$9,0)</f>
        <v>0</v>
      </c>
      <c r="AO9" s="9">
        <f>IF(AND(34&gt;=$F$9,34&lt;$F$9+$G$9),$E$9/$G$9,0)</f>
        <v>0</v>
      </c>
      <c r="AP9" s="9">
        <f>IF(AND(35&gt;=$F$9,35&lt;$F$9+$G$9),$E$9/$G$9,0)</f>
        <v>0</v>
      </c>
      <c r="AQ9" s="9">
        <f>IF(AND(36&gt;=$F$9,36&lt;$F$9+$G$9),$E$9/$G$9,0)</f>
        <v>0</v>
      </c>
      <c r="AR9" s="9">
        <f>IF(AND(37&gt;=$F$9,37&lt;$F$9+$G$9),$E$9/$G$9,0)</f>
        <v>0</v>
      </c>
      <c r="AS9" s="9">
        <f>IF(AND(38&gt;=$F$9,38&lt;$F$9+$G$9),$E$9/$G$9,0)</f>
        <v>0</v>
      </c>
      <c r="AT9" s="9">
        <f>IF(AND(39&gt;=$F$9,39&lt;$F$9+$G$9),$E$9/$G$9,0)</f>
        <v>0</v>
      </c>
      <c r="AU9" s="9">
        <f>IF(AND(40&gt;=$F$9,40&lt;$F$9+$G$9),$E$9/$G$9,0)</f>
        <v>0</v>
      </c>
      <c r="AV9" s="9">
        <f>IF(AND(41&gt;=$F$9,41&lt;$F$9+$G$9),$E$9/$G$9,0)</f>
        <v>0</v>
      </c>
      <c r="AW9" s="9">
        <f>IF(AND(42&gt;=$F$9,42&lt;$F$9+$G$9),$E$9/$G$9,0)</f>
        <v>0</v>
      </c>
      <c r="AX9" s="9">
        <f>IF(AND(43&gt;=$F$9,43&lt;$F$9+$G$9),$E$9/$G$9,0)</f>
        <v>0</v>
      </c>
      <c r="AY9" s="9">
        <f>IF(AND(44&gt;=$F$9,44&lt;$F$9+$G$9),$E$9/$G$9,0)</f>
        <v>0</v>
      </c>
      <c r="AZ9" s="9">
        <f>IF(AND(45&gt;=$F$9,45&lt;$F$9+$G$9),$E$9/$G$9,0)</f>
        <v>0</v>
      </c>
      <c r="BA9" s="9">
        <f>IF(AND(46&gt;=$F$9,46&lt;$F$9+$G$9),$E$9/$G$9,0)</f>
        <v>0</v>
      </c>
      <c r="BB9" s="9">
        <f>IF(AND(47&gt;=$F$9,47&lt;$F$9+$G$9),$E$9/$G$9,0)</f>
        <v>0</v>
      </c>
      <c r="BC9" s="9">
        <f>IF(AND(48&gt;=$F$9,48&lt;$F$9+$G$9),$E$9/$G$9,0)</f>
        <v>0</v>
      </c>
      <c r="BD9" s="9">
        <f>IF(AND(49&gt;=$F$9,49&lt;$F$9+$G$9),$E$9/$G$9,0)</f>
        <v>0</v>
      </c>
      <c r="BE9" s="9">
        <f>IF(AND(50&gt;=$F$9,50&lt;$F$9+$G$9),$E$9/$G$9,0)</f>
        <v>0</v>
      </c>
      <c r="BF9" s="9">
        <f>IF(AND(51&gt;=$F$9,51&lt;$F$9+$G$9),$E$9/$G$9,0)</f>
        <v>0</v>
      </c>
      <c r="BG9" s="9">
        <f>IF(AND(52&gt;=$F$9,52&lt;$F$9+$G$9),$E$9/$G$9,0)</f>
        <v>0</v>
      </c>
      <c r="BH9" s="9">
        <f>IF(AND(53&gt;=$F$9,53&lt;$F$9+$G$9),$E$9/$G$9,0)</f>
        <v>0</v>
      </c>
      <c r="BI9" s="9">
        <f>IF(AND(54&gt;=$F$9,54&lt;$F$9+$G$9),$E$9/$G$9,0)</f>
        <v>0</v>
      </c>
      <c r="BJ9" s="9">
        <f>IF(AND(55&gt;=$F$9,55&lt;$F$9+$G$9),$E$9/$G$9,0)</f>
        <v>0</v>
      </c>
      <c r="BK9" s="9">
        <f>IF(AND(56&gt;=$F$9,56&lt;$F$9+$G$9),$E$9/$G$9,0)</f>
        <v>0</v>
      </c>
      <c r="BL9" s="9">
        <f>IF(AND(57&gt;=$F$9,57&lt;$F$9+$G$9),$E$9/$G$9,0)</f>
        <v>0</v>
      </c>
      <c r="BM9" s="9">
        <f>IF(AND(58&gt;=$F$9,58&lt;$F$9+$G$9),$E$9/$G$9,0)</f>
        <v>0</v>
      </c>
      <c r="BN9" s="9">
        <f>IF(AND(59&gt;=$F$9,59&lt;$F$9+$G$9),$E$9/$G$9,0)</f>
        <v>0</v>
      </c>
      <c r="BO9" s="9">
        <f>IF(AND(60&gt;=$F$9,60&lt;$F$9+$G$9),$E$9/$G$9,0)</f>
        <v>0</v>
      </c>
    </row>
    <row r="10" spans="1:67" x14ac:dyDescent="0.25">
      <c r="A10" s="60">
        <v>6</v>
      </c>
      <c r="B10" s="60" t="s">
        <v>230</v>
      </c>
      <c r="C10" s="60" t="s">
        <v>231</v>
      </c>
      <c r="D10" s="60"/>
      <c r="E10" s="136">
        <v>0</v>
      </c>
      <c r="F10" s="137">
        <v>6</v>
      </c>
      <c r="G10" s="137">
        <v>1</v>
      </c>
      <c r="H10" s="9">
        <f>IF(AND(1&gt;=$F$10,1&lt;$F$10+$G$10),$E$10/$G$10,0)</f>
        <v>0</v>
      </c>
      <c r="I10" s="9">
        <f>IF(AND(2&gt;=$F$10,2&lt;$F$10+$G$10),$E$10/$G$10,0)</f>
        <v>0</v>
      </c>
      <c r="J10" s="9">
        <f>IF(AND(3&gt;=$F$10,3&lt;$F$10+$G$10),$E$10/$G$10,0)</f>
        <v>0</v>
      </c>
      <c r="K10" s="9">
        <f>IF(AND(4&gt;=$F$10,4&lt;$F$10+$G$10),$E$10/$G$10,0)</f>
        <v>0</v>
      </c>
      <c r="L10" s="9">
        <f>IF(AND(5&gt;=$F$10,5&lt;$F$10+$G$10),$E$10/$G$10,0)</f>
        <v>0</v>
      </c>
      <c r="M10" s="9">
        <f>IF(AND(6&gt;=$F$10,6&lt;$F$10+$G$10),$E$10/$G$10,0)</f>
        <v>0</v>
      </c>
      <c r="N10" s="9">
        <f>IF(AND(7&gt;=$F$10,7&lt;$F$10+$G$10),$E$10/$G$10,0)</f>
        <v>0</v>
      </c>
      <c r="O10" s="9">
        <f>IF(AND(8&gt;=$F$10,8&lt;$F$10+$G$10),$E$10/$G$10,0)</f>
        <v>0</v>
      </c>
      <c r="P10" s="9">
        <f>IF(AND(9&gt;=$F$10,9&lt;$F$10+$G$10),$E$10/$G$10,0)</f>
        <v>0</v>
      </c>
      <c r="Q10" s="9">
        <f>IF(AND(10&gt;=$F$10,10&lt;$F$10+$G$10),$E$10/$G$10,0)</f>
        <v>0</v>
      </c>
      <c r="R10" s="9">
        <f>IF(AND(11&gt;=$F$10,11&lt;$F$10+$G$10),$E$10/$G$10,0)</f>
        <v>0</v>
      </c>
      <c r="S10" s="9">
        <f>IF(AND(12&gt;=$F$10,12&lt;$F$10+$G$10),$E$10/$G$10,0)</f>
        <v>0</v>
      </c>
      <c r="T10" s="9">
        <f>IF(AND(13&gt;=$F$10,13&lt;$F$10+$G$10),$E$10/$G$10,0)</f>
        <v>0</v>
      </c>
      <c r="U10" s="9">
        <f>IF(AND(14&gt;=$F$10,14&lt;$F$10+$G$10),$E$10/$G$10,0)</f>
        <v>0</v>
      </c>
      <c r="V10" s="9">
        <f>IF(AND(15&gt;=$F$10,15&lt;$F$10+$G$10),$E$10/$G$10,0)</f>
        <v>0</v>
      </c>
      <c r="W10" s="9">
        <f>IF(AND(16&gt;=$F$10,16&lt;$F$10+$G$10),$E$10/$G$10,0)</f>
        <v>0</v>
      </c>
      <c r="X10" s="9">
        <f>IF(AND(17&gt;=$F$10,17&lt;$F$10+$G$10),$E$10/$G$10,0)</f>
        <v>0</v>
      </c>
      <c r="Y10" s="9">
        <f>IF(AND(18&gt;=$F$10,18&lt;$F$10+$G$10),$E$10/$G$10,0)</f>
        <v>0</v>
      </c>
      <c r="Z10" s="9">
        <f>IF(AND(19&gt;=$F$10,19&lt;$F$10+$G$10),$E$10/$G$10,0)</f>
        <v>0</v>
      </c>
      <c r="AA10" s="9">
        <f>IF(AND(20&gt;=$F$10,20&lt;$F$10+$G$10),$E$10/$G$10,0)</f>
        <v>0</v>
      </c>
      <c r="AB10" s="9">
        <f>IF(AND(21&gt;=$F$10,21&lt;$F$10+$G$10),$E$10/$G$10,0)</f>
        <v>0</v>
      </c>
      <c r="AC10" s="9">
        <f>IF(AND(22&gt;=$F$10,22&lt;$F$10+$G$10),$E$10/$G$10,0)</f>
        <v>0</v>
      </c>
      <c r="AD10" s="9">
        <f>IF(AND(23&gt;=$F$10,23&lt;$F$10+$G$10),$E$10/$G$10,0)</f>
        <v>0</v>
      </c>
      <c r="AE10" s="9">
        <f>IF(AND(24&gt;=$F$10,24&lt;$F$10+$G$10),$E$10/$G$10,0)</f>
        <v>0</v>
      </c>
      <c r="AF10" s="9">
        <f>IF(AND(25&gt;=$F$10,25&lt;$F$10+$G$10),$E$10/$G$10,0)</f>
        <v>0</v>
      </c>
      <c r="AG10" s="9">
        <f>IF(AND(26&gt;=$F$10,26&lt;$F$10+$G$10),$E$10/$G$10,0)</f>
        <v>0</v>
      </c>
      <c r="AH10" s="9">
        <f>IF(AND(27&gt;=$F$10,27&lt;$F$10+$G$10),$E$10/$G$10,0)</f>
        <v>0</v>
      </c>
      <c r="AI10" s="9">
        <f>IF(AND(28&gt;=$F$10,28&lt;$F$10+$G$10),$E$10/$G$10,0)</f>
        <v>0</v>
      </c>
      <c r="AJ10" s="9">
        <f>IF(AND(29&gt;=$F$10,29&lt;$F$10+$G$10),$E$10/$G$10,0)</f>
        <v>0</v>
      </c>
      <c r="AK10" s="9">
        <f>IF(AND(30&gt;=$F$10,30&lt;$F$10+$G$10),$E$10/$G$10,0)</f>
        <v>0</v>
      </c>
      <c r="AL10" s="9">
        <f>IF(AND(31&gt;=$F$10,31&lt;$F$10+$G$10),$E$10/$G$10,0)</f>
        <v>0</v>
      </c>
      <c r="AM10" s="9">
        <f>IF(AND(32&gt;=$F$10,32&lt;$F$10+$G$10),$E$10/$G$10,0)</f>
        <v>0</v>
      </c>
      <c r="AN10" s="9">
        <f>IF(AND(33&gt;=$F$10,33&lt;$F$10+$G$10),$E$10/$G$10,0)</f>
        <v>0</v>
      </c>
      <c r="AO10" s="9">
        <f>IF(AND(34&gt;=$F$10,34&lt;$F$10+$G$10),$E$10/$G$10,0)</f>
        <v>0</v>
      </c>
      <c r="AP10" s="9">
        <f>IF(AND(35&gt;=$F$10,35&lt;$F$10+$G$10),$E$10/$G$10,0)</f>
        <v>0</v>
      </c>
      <c r="AQ10" s="9">
        <f>IF(AND(36&gt;=$F$10,36&lt;$F$10+$G$10),$E$10/$G$10,0)</f>
        <v>0</v>
      </c>
      <c r="AR10" s="9">
        <f>IF(AND(37&gt;=$F$10,37&lt;$F$10+$G$10),$E$10/$G$10,0)</f>
        <v>0</v>
      </c>
      <c r="AS10" s="9">
        <f>IF(AND(38&gt;=$F$10,38&lt;$F$10+$G$10),$E$10/$G$10,0)</f>
        <v>0</v>
      </c>
      <c r="AT10" s="9">
        <f>IF(AND(39&gt;=$F$10,39&lt;$F$10+$G$10),$E$10/$G$10,0)</f>
        <v>0</v>
      </c>
      <c r="AU10" s="9">
        <f>IF(AND(40&gt;=$F$10,40&lt;$F$10+$G$10),$E$10/$G$10,0)</f>
        <v>0</v>
      </c>
      <c r="AV10" s="9">
        <f>IF(AND(41&gt;=$F$10,41&lt;$F$10+$G$10),$E$10/$G$10,0)</f>
        <v>0</v>
      </c>
      <c r="AW10" s="9">
        <f>IF(AND(42&gt;=$F$10,42&lt;$F$10+$G$10),$E$10/$G$10,0)</f>
        <v>0</v>
      </c>
      <c r="AX10" s="9">
        <f>IF(AND(43&gt;=$F$10,43&lt;$F$10+$G$10),$E$10/$G$10,0)</f>
        <v>0</v>
      </c>
      <c r="AY10" s="9">
        <f>IF(AND(44&gt;=$F$10,44&lt;$F$10+$G$10),$E$10/$G$10,0)</f>
        <v>0</v>
      </c>
      <c r="AZ10" s="9">
        <f>IF(AND(45&gt;=$F$10,45&lt;$F$10+$G$10),$E$10/$G$10,0)</f>
        <v>0</v>
      </c>
      <c r="BA10" s="9">
        <f>IF(AND(46&gt;=$F$10,46&lt;$F$10+$G$10),$E$10/$G$10,0)</f>
        <v>0</v>
      </c>
      <c r="BB10" s="9">
        <f>IF(AND(47&gt;=$F$10,47&lt;$F$10+$G$10),$E$10/$G$10,0)</f>
        <v>0</v>
      </c>
      <c r="BC10" s="9">
        <f>IF(AND(48&gt;=$F$10,48&lt;$F$10+$G$10),$E$10/$G$10,0)</f>
        <v>0</v>
      </c>
      <c r="BD10" s="9">
        <f>IF(AND(49&gt;=$F$10,49&lt;$F$10+$G$10),$E$10/$G$10,0)</f>
        <v>0</v>
      </c>
      <c r="BE10" s="9">
        <f>IF(AND(50&gt;=$F$10,50&lt;$F$10+$G$10),$E$10/$G$10,0)</f>
        <v>0</v>
      </c>
      <c r="BF10" s="9">
        <f>IF(AND(51&gt;=$F$10,51&lt;$F$10+$G$10),$E$10/$G$10,0)</f>
        <v>0</v>
      </c>
      <c r="BG10" s="9">
        <f>IF(AND(52&gt;=$F$10,52&lt;$F$10+$G$10),$E$10/$G$10,0)</f>
        <v>0</v>
      </c>
      <c r="BH10" s="9">
        <f>IF(AND(53&gt;=$F$10,53&lt;$F$10+$G$10),$E$10/$G$10,0)</f>
        <v>0</v>
      </c>
      <c r="BI10" s="9">
        <f>IF(AND(54&gt;=$F$10,54&lt;$F$10+$G$10),$E$10/$G$10,0)</f>
        <v>0</v>
      </c>
      <c r="BJ10" s="9">
        <f>IF(AND(55&gt;=$F$10,55&lt;$F$10+$G$10),$E$10/$G$10,0)</f>
        <v>0</v>
      </c>
      <c r="BK10" s="9">
        <f>IF(AND(56&gt;=$F$10,56&lt;$F$10+$G$10),$E$10/$G$10,0)</f>
        <v>0</v>
      </c>
      <c r="BL10" s="9">
        <f>IF(AND(57&gt;=$F$10,57&lt;$F$10+$G$10),$E$10/$G$10,0)</f>
        <v>0</v>
      </c>
      <c r="BM10" s="9">
        <f>IF(AND(58&gt;=$F$10,58&lt;$F$10+$G$10),$E$10/$G$10,0)</f>
        <v>0</v>
      </c>
      <c r="BN10" s="9">
        <f>IF(AND(59&gt;=$F$10,59&lt;$F$10+$G$10),$E$10/$G$10,0)</f>
        <v>0</v>
      </c>
      <c r="BO10" s="9">
        <f>IF(AND(60&gt;=$F$10,60&lt;$F$10+$G$10),$E$10/$G$10,0)</f>
        <v>0</v>
      </c>
    </row>
    <row r="11" spans="1:67" x14ac:dyDescent="0.25">
      <c r="A11" s="60">
        <v>7</v>
      </c>
      <c r="B11" s="60" t="s">
        <v>232</v>
      </c>
      <c r="C11" s="60" t="s">
        <v>224</v>
      </c>
      <c r="D11" s="60"/>
      <c r="E11" s="136">
        <v>0</v>
      </c>
      <c r="F11" s="137">
        <v>2</v>
      </c>
      <c r="G11" s="137">
        <v>1</v>
      </c>
      <c r="H11" s="9">
        <f>IF(AND(1&gt;=$F$11,1&lt;$F$11+$G$11),$E$11/$G$11,0)</f>
        <v>0</v>
      </c>
      <c r="I11" s="9">
        <f>IF(AND(2&gt;=$F$11,2&lt;$F$11+$G$11),$E$11/$G$11,0)</f>
        <v>0</v>
      </c>
      <c r="J11" s="9">
        <f>IF(AND(3&gt;=$F$11,3&lt;$F$11+$G$11),$E$11/$G$11,0)</f>
        <v>0</v>
      </c>
      <c r="K11" s="9">
        <f>IF(AND(4&gt;=$F$11,4&lt;$F$11+$G$11),$E$11/$G$11,0)</f>
        <v>0</v>
      </c>
      <c r="L11" s="9">
        <f>IF(AND(5&gt;=$F$11,5&lt;$F$11+$G$11),$E$11/$G$11,0)</f>
        <v>0</v>
      </c>
      <c r="M11" s="9">
        <f>IF(AND(6&gt;=$F$11,6&lt;$F$11+$G$11),$E$11/$G$11,0)</f>
        <v>0</v>
      </c>
      <c r="N11" s="9">
        <f>IF(AND(7&gt;=$F$11,7&lt;$F$11+$G$11),$E$11/$G$11,0)</f>
        <v>0</v>
      </c>
      <c r="O11" s="9">
        <f>IF(AND(8&gt;=$F$11,8&lt;$F$11+$G$11),$E$11/$G$11,0)</f>
        <v>0</v>
      </c>
      <c r="P11" s="9">
        <f>IF(AND(9&gt;=$F$11,9&lt;$F$11+$G$11),$E$11/$G$11,0)</f>
        <v>0</v>
      </c>
      <c r="Q11" s="9">
        <f>IF(AND(10&gt;=$F$11,10&lt;$F$11+$G$11),$E$11/$G$11,0)</f>
        <v>0</v>
      </c>
      <c r="R11" s="9">
        <f>IF(AND(11&gt;=$F$11,11&lt;$F$11+$G$11),$E$11/$G$11,0)</f>
        <v>0</v>
      </c>
      <c r="S11" s="9">
        <f>IF(AND(12&gt;=$F$11,12&lt;$F$11+$G$11),$E$11/$G$11,0)</f>
        <v>0</v>
      </c>
      <c r="T11" s="9">
        <f>IF(AND(13&gt;=$F$11,13&lt;$F$11+$G$11),$E$11/$G$11,0)</f>
        <v>0</v>
      </c>
      <c r="U11" s="9">
        <f>IF(AND(14&gt;=$F$11,14&lt;$F$11+$G$11),$E$11/$G$11,0)</f>
        <v>0</v>
      </c>
      <c r="V11" s="9">
        <f>IF(AND(15&gt;=$F$11,15&lt;$F$11+$G$11),$E$11/$G$11,0)</f>
        <v>0</v>
      </c>
      <c r="W11" s="9">
        <f>IF(AND(16&gt;=$F$11,16&lt;$F$11+$G$11),$E$11/$G$11,0)</f>
        <v>0</v>
      </c>
      <c r="X11" s="9">
        <f>IF(AND(17&gt;=$F$11,17&lt;$F$11+$G$11),$E$11/$G$11,0)</f>
        <v>0</v>
      </c>
      <c r="Y11" s="9">
        <f>IF(AND(18&gt;=$F$11,18&lt;$F$11+$G$11),$E$11/$G$11,0)</f>
        <v>0</v>
      </c>
      <c r="Z11" s="9">
        <f>IF(AND(19&gt;=$F$11,19&lt;$F$11+$G$11),$E$11/$G$11,0)</f>
        <v>0</v>
      </c>
      <c r="AA11" s="9">
        <f>IF(AND(20&gt;=$F$11,20&lt;$F$11+$G$11),$E$11/$G$11,0)</f>
        <v>0</v>
      </c>
      <c r="AB11" s="9">
        <f>IF(AND(21&gt;=$F$11,21&lt;$F$11+$G$11),$E$11/$G$11,0)</f>
        <v>0</v>
      </c>
      <c r="AC11" s="9">
        <f>IF(AND(22&gt;=$F$11,22&lt;$F$11+$G$11),$E$11/$G$11,0)</f>
        <v>0</v>
      </c>
      <c r="AD11" s="9">
        <f>IF(AND(23&gt;=$F$11,23&lt;$F$11+$G$11),$E$11/$G$11,0)</f>
        <v>0</v>
      </c>
      <c r="AE11" s="9">
        <f>IF(AND(24&gt;=$F$11,24&lt;$F$11+$G$11),$E$11/$G$11,0)</f>
        <v>0</v>
      </c>
      <c r="AF11" s="9">
        <f>IF(AND(25&gt;=$F$11,25&lt;$F$11+$G$11),$E$11/$G$11,0)</f>
        <v>0</v>
      </c>
      <c r="AG11" s="9">
        <f>IF(AND(26&gt;=$F$11,26&lt;$F$11+$G$11),$E$11/$G$11,0)</f>
        <v>0</v>
      </c>
      <c r="AH11" s="9">
        <f>IF(AND(27&gt;=$F$11,27&lt;$F$11+$G$11),$E$11/$G$11,0)</f>
        <v>0</v>
      </c>
      <c r="AI11" s="9">
        <f>IF(AND(28&gt;=$F$11,28&lt;$F$11+$G$11),$E$11/$G$11,0)</f>
        <v>0</v>
      </c>
      <c r="AJ11" s="9">
        <f>IF(AND(29&gt;=$F$11,29&lt;$F$11+$G$11),$E$11/$G$11,0)</f>
        <v>0</v>
      </c>
      <c r="AK11" s="9">
        <f>IF(AND(30&gt;=$F$11,30&lt;$F$11+$G$11),$E$11/$G$11,0)</f>
        <v>0</v>
      </c>
      <c r="AL11" s="9">
        <f>IF(AND(31&gt;=$F$11,31&lt;$F$11+$G$11),$E$11/$G$11,0)</f>
        <v>0</v>
      </c>
      <c r="AM11" s="9">
        <f>IF(AND(32&gt;=$F$11,32&lt;$F$11+$G$11),$E$11/$G$11,0)</f>
        <v>0</v>
      </c>
      <c r="AN11" s="9">
        <f>IF(AND(33&gt;=$F$11,33&lt;$F$11+$G$11),$E$11/$G$11,0)</f>
        <v>0</v>
      </c>
      <c r="AO11" s="9">
        <f>IF(AND(34&gt;=$F$11,34&lt;$F$11+$G$11),$E$11/$G$11,0)</f>
        <v>0</v>
      </c>
      <c r="AP11" s="9">
        <f>IF(AND(35&gt;=$F$11,35&lt;$F$11+$G$11),$E$11/$G$11,0)</f>
        <v>0</v>
      </c>
      <c r="AQ11" s="9">
        <f>IF(AND(36&gt;=$F$11,36&lt;$F$11+$G$11),$E$11/$G$11,0)</f>
        <v>0</v>
      </c>
      <c r="AR11" s="9">
        <f>IF(AND(37&gt;=$F$11,37&lt;$F$11+$G$11),$E$11/$G$11,0)</f>
        <v>0</v>
      </c>
      <c r="AS11" s="9">
        <f>IF(AND(38&gt;=$F$11,38&lt;$F$11+$G$11),$E$11/$G$11,0)</f>
        <v>0</v>
      </c>
      <c r="AT11" s="9">
        <f>IF(AND(39&gt;=$F$11,39&lt;$F$11+$G$11),$E$11/$G$11,0)</f>
        <v>0</v>
      </c>
      <c r="AU11" s="9">
        <f>IF(AND(40&gt;=$F$11,40&lt;$F$11+$G$11),$E$11/$G$11,0)</f>
        <v>0</v>
      </c>
      <c r="AV11" s="9">
        <f>IF(AND(41&gt;=$F$11,41&lt;$F$11+$G$11),$E$11/$G$11,0)</f>
        <v>0</v>
      </c>
      <c r="AW11" s="9">
        <f>IF(AND(42&gt;=$F$11,42&lt;$F$11+$G$11),$E$11/$G$11,0)</f>
        <v>0</v>
      </c>
      <c r="AX11" s="9">
        <f>IF(AND(43&gt;=$F$11,43&lt;$F$11+$G$11),$E$11/$G$11,0)</f>
        <v>0</v>
      </c>
      <c r="AY11" s="9">
        <f>IF(AND(44&gt;=$F$11,44&lt;$F$11+$G$11),$E$11/$G$11,0)</f>
        <v>0</v>
      </c>
      <c r="AZ11" s="9">
        <f>IF(AND(45&gt;=$F$11,45&lt;$F$11+$G$11),$E$11/$G$11,0)</f>
        <v>0</v>
      </c>
      <c r="BA11" s="9">
        <f>IF(AND(46&gt;=$F$11,46&lt;$F$11+$G$11),$E$11/$G$11,0)</f>
        <v>0</v>
      </c>
      <c r="BB11" s="9">
        <f>IF(AND(47&gt;=$F$11,47&lt;$F$11+$G$11),$E$11/$G$11,0)</f>
        <v>0</v>
      </c>
      <c r="BC11" s="9">
        <f>IF(AND(48&gt;=$F$11,48&lt;$F$11+$G$11),$E$11/$G$11,0)</f>
        <v>0</v>
      </c>
      <c r="BD11" s="9">
        <f>IF(AND(49&gt;=$F$11,49&lt;$F$11+$G$11),$E$11/$G$11,0)</f>
        <v>0</v>
      </c>
      <c r="BE11" s="9">
        <f>IF(AND(50&gt;=$F$11,50&lt;$F$11+$G$11),$E$11/$G$11,0)</f>
        <v>0</v>
      </c>
      <c r="BF11" s="9">
        <f>IF(AND(51&gt;=$F$11,51&lt;$F$11+$G$11),$E$11/$G$11,0)</f>
        <v>0</v>
      </c>
      <c r="BG11" s="9">
        <f>IF(AND(52&gt;=$F$11,52&lt;$F$11+$G$11),$E$11/$G$11,0)</f>
        <v>0</v>
      </c>
      <c r="BH11" s="9">
        <f>IF(AND(53&gt;=$F$11,53&lt;$F$11+$G$11),$E$11/$G$11,0)</f>
        <v>0</v>
      </c>
      <c r="BI11" s="9">
        <f>IF(AND(54&gt;=$F$11,54&lt;$F$11+$G$11),$E$11/$G$11,0)</f>
        <v>0</v>
      </c>
      <c r="BJ11" s="9">
        <f>IF(AND(55&gt;=$F$11,55&lt;$F$11+$G$11),$E$11/$G$11,0)</f>
        <v>0</v>
      </c>
      <c r="BK11" s="9">
        <f>IF(AND(56&gt;=$F$11,56&lt;$F$11+$G$11),$E$11/$G$11,0)</f>
        <v>0</v>
      </c>
      <c r="BL11" s="9">
        <f>IF(AND(57&gt;=$F$11,57&lt;$F$11+$G$11),$E$11/$G$11,0)</f>
        <v>0</v>
      </c>
      <c r="BM11" s="9">
        <f>IF(AND(58&gt;=$F$11,58&lt;$F$11+$G$11),$E$11/$G$11,0)</f>
        <v>0</v>
      </c>
      <c r="BN11" s="9">
        <f>IF(AND(59&gt;=$F$11,59&lt;$F$11+$G$11),$E$11/$G$11,0)</f>
        <v>0</v>
      </c>
      <c r="BO11" s="9">
        <f>IF(AND(60&gt;=$F$11,60&lt;$F$11+$G$11),$E$11/$G$11,0)</f>
        <v>0</v>
      </c>
    </row>
    <row r="12" spans="1:67" x14ac:dyDescent="0.25">
      <c r="A12" s="60">
        <v>8</v>
      </c>
      <c r="B12" s="60" t="s">
        <v>221</v>
      </c>
      <c r="C12" s="60" t="s">
        <v>233</v>
      </c>
      <c r="D12" s="60"/>
      <c r="E12" s="136">
        <v>0</v>
      </c>
      <c r="F12" s="137">
        <v>3</v>
      </c>
      <c r="G12" s="137">
        <v>1</v>
      </c>
      <c r="H12" s="9">
        <f>IF(AND(1&gt;=$F$12,1&lt;$F$12+$G$12),$E$12/$G$12,0)</f>
        <v>0</v>
      </c>
      <c r="I12" s="9">
        <f>IF(AND(2&gt;=$F$12,2&lt;$F$12+$G$12),$E$12/$G$12,0)</f>
        <v>0</v>
      </c>
      <c r="J12" s="9">
        <f>IF(AND(3&gt;=$F$12,3&lt;$F$12+$G$12),$E$12/$G$12,0)</f>
        <v>0</v>
      </c>
      <c r="K12" s="9">
        <f>IF(AND(4&gt;=$F$12,4&lt;$F$12+$G$12),$E$12/$G$12,0)</f>
        <v>0</v>
      </c>
      <c r="L12" s="9">
        <f>IF(AND(5&gt;=$F$12,5&lt;$F$12+$G$12),$E$12/$G$12,0)</f>
        <v>0</v>
      </c>
      <c r="M12" s="9">
        <f>IF(AND(6&gt;=$F$12,6&lt;$F$12+$G$12),$E$12/$G$12,0)</f>
        <v>0</v>
      </c>
      <c r="N12" s="9">
        <f>IF(AND(7&gt;=$F$12,7&lt;$F$12+$G$12),$E$12/$G$12,0)</f>
        <v>0</v>
      </c>
      <c r="O12" s="9">
        <f>IF(AND(8&gt;=$F$12,8&lt;$F$12+$G$12),$E$12/$G$12,0)</f>
        <v>0</v>
      </c>
      <c r="P12" s="9">
        <f>IF(AND(9&gt;=$F$12,9&lt;$F$12+$G$12),$E$12/$G$12,0)</f>
        <v>0</v>
      </c>
      <c r="Q12" s="9">
        <f>IF(AND(10&gt;=$F$12,10&lt;$F$12+$G$12),$E$12/$G$12,0)</f>
        <v>0</v>
      </c>
      <c r="R12" s="9">
        <f>IF(AND(11&gt;=$F$12,11&lt;$F$12+$G$12),$E$12/$G$12,0)</f>
        <v>0</v>
      </c>
      <c r="S12" s="9">
        <f>IF(AND(12&gt;=$F$12,12&lt;$F$12+$G$12),$E$12/$G$12,0)</f>
        <v>0</v>
      </c>
      <c r="T12" s="9">
        <f>IF(AND(13&gt;=$F$12,13&lt;$F$12+$G$12),$E$12/$G$12,0)</f>
        <v>0</v>
      </c>
      <c r="U12" s="9">
        <f>IF(AND(14&gt;=$F$12,14&lt;$F$12+$G$12),$E$12/$G$12,0)</f>
        <v>0</v>
      </c>
      <c r="V12" s="9">
        <f>IF(AND(15&gt;=$F$12,15&lt;$F$12+$G$12),$E$12/$G$12,0)</f>
        <v>0</v>
      </c>
      <c r="W12" s="9">
        <f>IF(AND(16&gt;=$F$12,16&lt;$F$12+$G$12),$E$12/$G$12,0)</f>
        <v>0</v>
      </c>
      <c r="X12" s="9">
        <f>IF(AND(17&gt;=$F$12,17&lt;$F$12+$G$12),$E$12/$G$12,0)</f>
        <v>0</v>
      </c>
      <c r="Y12" s="9">
        <f>IF(AND(18&gt;=$F$12,18&lt;$F$12+$G$12),$E$12/$G$12,0)</f>
        <v>0</v>
      </c>
      <c r="Z12" s="9">
        <f>IF(AND(19&gt;=$F$12,19&lt;$F$12+$G$12),$E$12/$G$12,0)</f>
        <v>0</v>
      </c>
      <c r="AA12" s="9">
        <f>IF(AND(20&gt;=$F$12,20&lt;$F$12+$G$12),$E$12/$G$12,0)</f>
        <v>0</v>
      </c>
      <c r="AB12" s="9">
        <f>IF(AND(21&gt;=$F$12,21&lt;$F$12+$G$12),$E$12/$G$12,0)</f>
        <v>0</v>
      </c>
      <c r="AC12" s="9">
        <f>IF(AND(22&gt;=$F$12,22&lt;$F$12+$G$12),$E$12/$G$12,0)</f>
        <v>0</v>
      </c>
      <c r="AD12" s="9">
        <f>IF(AND(23&gt;=$F$12,23&lt;$F$12+$G$12),$E$12/$G$12,0)</f>
        <v>0</v>
      </c>
      <c r="AE12" s="9">
        <f>IF(AND(24&gt;=$F$12,24&lt;$F$12+$G$12),$E$12/$G$12,0)</f>
        <v>0</v>
      </c>
      <c r="AF12" s="9">
        <f>IF(AND(25&gt;=$F$12,25&lt;$F$12+$G$12),$E$12/$G$12,0)</f>
        <v>0</v>
      </c>
      <c r="AG12" s="9">
        <f>IF(AND(26&gt;=$F$12,26&lt;$F$12+$G$12),$E$12/$G$12,0)</f>
        <v>0</v>
      </c>
      <c r="AH12" s="9">
        <f>IF(AND(27&gt;=$F$12,27&lt;$F$12+$G$12),$E$12/$G$12,0)</f>
        <v>0</v>
      </c>
      <c r="AI12" s="9">
        <f>IF(AND(28&gt;=$F$12,28&lt;$F$12+$G$12),$E$12/$G$12,0)</f>
        <v>0</v>
      </c>
      <c r="AJ12" s="9">
        <f>IF(AND(29&gt;=$F$12,29&lt;$F$12+$G$12),$E$12/$G$12,0)</f>
        <v>0</v>
      </c>
      <c r="AK12" s="9">
        <f>IF(AND(30&gt;=$F$12,30&lt;$F$12+$G$12),$E$12/$G$12,0)</f>
        <v>0</v>
      </c>
      <c r="AL12" s="9">
        <f>IF(AND(31&gt;=$F$12,31&lt;$F$12+$G$12),$E$12/$G$12,0)</f>
        <v>0</v>
      </c>
      <c r="AM12" s="9">
        <f>IF(AND(32&gt;=$F$12,32&lt;$F$12+$G$12),$E$12/$G$12,0)</f>
        <v>0</v>
      </c>
      <c r="AN12" s="9">
        <f>IF(AND(33&gt;=$F$12,33&lt;$F$12+$G$12),$E$12/$G$12,0)</f>
        <v>0</v>
      </c>
      <c r="AO12" s="9">
        <f>IF(AND(34&gt;=$F$12,34&lt;$F$12+$G$12),$E$12/$G$12,0)</f>
        <v>0</v>
      </c>
      <c r="AP12" s="9">
        <f>IF(AND(35&gt;=$F$12,35&lt;$F$12+$G$12),$E$12/$G$12,0)</f>
        <v>0</v>
      </c>
      <c r="AQ12" s="9">
        <f>IF(AND(36&gt;=$F$12,36&lt;$F$12+$G$12),$E$12/$G$12,0)</f>
        <v>0</v>
      </c>
      <c r="AR12" s="9">
        <f>IF(AND(37&gt;=$F$12,37&lt;$F$12+$G$12),$E$12/$G$12,0)</f>
        <v>0</v>
      </c>
      <c r="AS12" s="9">
        <f>IF(AND(38&gt;=$F$12,38&lt;$F$12+$G$12),$E$12/$G$12,0)</f>
        <v>0</v>
      </c>
      <c r="AT12" s="9">
        <f>IF(AND(39&gt;=$F$12,39&lt;$F$12+$G$12),$E$12/$G$12,0)</f>
        <v>0</v>
      </c>
      <c r="AU12" s="9">
        <f>IF(AND(40&gt;=$F$12,40&lt;$F$12+$G$12),$E$12/$G$12,0)</f>
        <v>0</v>
      </c>
      <c r="AV12" s="9">
        <f>IF(AND(41&gt;=$F$12,41&lt;$F$12+$G$12),$E$12/$G$12,0)</f>
        <v>0</v>
      </c>
      <c r="AW12" s="9">
        <f>IF(AND(42&gt;=$F$12,42&lt;$F$12+$G$12),$E$12/$G$12,0)</f>
        <v>0</v>
      </c>
      <c r="AX12" s="9">
        <f>IF(AND(43&gt;=$F$12,43&lt;$F$12+$G$12),$E$12/$G$12,0)</f>
        <v>0</v>
      </c>
      <c r="AY12" s="9">
        <f>IF(AND(44&gt;=$F$12,44&lt;$F$12+$G$12),$E$12/$G$12,0)</f>
        <v>0</v>
      </c>
      <c r="AZ12" s="9">
        <f>IF(AND(45&gt;=$F$12,45&lt;$F$12+$G$12),$E$12/$G$12,0)</f>
        <v>0</v>
      </c>
      <c r="BA12" s="9">
        <f>IF(AND(46&gt;=$F$12,46&lt;$F$12+$G$12),$E$12/$G$12,0)</f>
        <v>0</v>
      </c>
      <c r="BB12" s="9">
        <f>IF(AND(47&gt;=$F$12,47&lt;$F$12+$G$12),$E$12/$G$12,0)</f>
        <v>0</v>
      </c>
      <c r="BC12" s="9">
        <f>IF(AND(48&gt;=$F$12,48&lt;$F$12+$G$12),$E$12/$G$12,0)</f>
        <v>0</v>
      </c>
      <c r="BD12" s="9">
        <f>IF(AND(49&gt;=$F$12,49&lt;$F$12+$G$12),$E$12/$G$12,0)</f>
        <v>0</v>
      </c>
      <c r="BE12" s="9">
        <f>IF(AND(50&gt;=$F$12,50&lt;$F$12+$G$12),$E$12/$G$12,0)</f>
        <v>0</v>
      </c>
      <c r="BF12" s="9">
        <f>IF(AND(51&gt;=$F$12,51&lt;$F$12+$G$12),$E$12/$G$12,0)</f>
        <v>0</v>
      </c>
      <c r="BG12" s="9">
        <f>IF(AND(52&gt;=$F$12,52&lt;$F$12+$G$12),$E$12/$G$12,0)</f>
        <v>0</v>
      </c>
      <c r="BH12" s="9">
        <f>IF(AND(53&gt;=$F$12,53&lt;$F$12+$G$12),$E$12/$G$12,0)</f>
        <v>0</v>
      </c>
      <c r="BI12" s="9">
        <f>IF(AND(54&gt;=$F$12,54&lt;$F$12+$G$12),$E$12/$G$12,0)</f>
        <v>0</v>
      </c>
      <c r="BJ12" s="9">
        <f>IF(AND(55&gt;=$F$12,55&lt;$F$12+$G$12),$E$12/$G$12,0)</f>
        <v>0</v>
      </c>
      <c r="BK12" s="9">
        <f>IF(AND(56&gt;=$F$12,56&lt;$F$12+$G$12),$E$12/$G$12,0)</f>
        <v>0</v>
      </c>
      <c r="BL12" s="9">
        <f>IF(AND(57&gt;=$F$12,57&lt;$F$12+$G$12),$E$12/$G$12,0)</f>
        <v>0</v>
      </c>
      <c r="BM12" s="9">
        <f>IF(AND(58&gt;=$F$12,58&lt;$F$12+$G$12),$E$12/$G$12,0)</f>
        <v>0</v>
      </c>
      <c r="BN12" s="9">
        <f>IF(AND(59&gt;=$F$12,59&lt;$F$12+$G$12),$E$12/$G$12,0)</f>
        <v>0</v>
      </c>
      <c r="BO12" s="9">
        <f>IF(AND(60&gt;=$F$12,60&lt;$F$12+$G$12),$E$12/$G$12,0)</f>
        <v>0</v>
      </c>
    </row>
    <row r="13" spans="1:67" x14ac:dyDescent="0.25">
      <c r="A13" s="89"/>
      <c r="B13" s="89" t="s">
        <v>234</v>
      </c>
      <c r="C13" s="89"/>
      <c r="D13" s="89"/>
      <c r="E13" s="92">
        <f>SUM(E5:E12)</f>
        <v>150000</v>
      </c>
      <c r="F13" s="89"/>
      <c r="G13" s="89"/>
      <c r="H13" s="92">
        <f t="shared" ref="H13:AM13" si="0">SUM(H5:H12)</f>
        <v>25000</v>
      </c>
      <c r="I13" s="92">
        <f t="shared" si="0"/>
        <v>25000</v>
      </c>
      <c r="J13" s="92">
        <f t="shared" si="0"/>
        <v>25000</v>
      </c>
      <c r="K13" s="92">
        <f t="shared" si="0"/>
        <v>25000</v>
      </c>
      <c r="L13" s="92">
        <f t="shared" si="0"/>
        <v>25000</v>
      </c>
      <c r="M13" s="92">
        <f t="shared" si="0"/>
        <v>25000</v>
      </c>
      <c r="N13" s="92">
        <f t="shared" si="0"/>
        <v>0</v>
      </c>
      <c r="O13" s="92">
        <f t="shared" si="0"/>
        <v>0</v>
      </c>
      <c r="P13" s="92">
        <f t="shared" si="0"/>
        <v>0</v>
      </c>
      <c r="Q13" s="92">
        <f t="shared" si="0"/>
        <v>0</v>
      </c>
      <c r="R13" s="92">
        <f t="shared" si="0"/>
        <v>0</v>
      </c>
      <c r="S13" s="92">
        <f t="shared" si="0"/>
        <v>0</v>
      </c>
      <c r="T13" s="92">
        <f t="shared" si="0"/>
        <v>0</v>
      </c>
      <c r="U13" s="92">
        <f t="shared" si="0"/>
        <v>0</v>
      </c>
      <c r="V13" s="92">
        <f t="shared" si="0"/>
        <v>0</v>
      </c>
      <c r="W13" s="92">
        <f t="shared" si="0"/>
        <v>0</v>
      </c>
      <c r="X13" s="92">
        <f t="shared" si="0"/>
        <v>0</v>
      </c>
      <c r="Y13" s="92">
        <f t="shared" si="0"/>
        <v>0</v>
      </c>
      <c r="Z13" s="92">
        <f t="shared" si="0"/>
        <v>0</v>
      </c>
      <c r="AA13" s="92">
        <f t="shared" si="0"/>
        <v>0</v>
      </c>
      <c r="AB13" s="92">
        <f t="shared" si="0"/>
        <v>0</v>
      </c>
      <c r="AC13" s="92">
        <f t="shared" si="0"/>
        <v>0</v>
      </c>
      <c r="AD13" s="92">
        <f t="shared" si="0"/>
        <v>0</v>
      </c>
      <c r="AE13" s="92">
        <f t="shared" si="0"/>
        <v>0</v>
      </c>
      <c r="AF13" s="92">
        <f t="shared" si="0"/>
        <v>0</v>
      </c>
      <c r="AG13" s="92">
        <f t="shared" si="0"/>
        <v>0</v>
      </c>
      <c r="AH13" s="92">
        <f t="shared" si="0"/>
        <v>0</v>
      </c>
      <c r="AI13" s="92">
        <f t="shared" si="0"/>
        <v>0</v>
      </c>
      <c r="AJ13" s="92">
        <f t="shared" si="0"/>
        <v>0</v>
      </c>
      <c r="AK13" s="92">
        <f t="shared" si="0"/>
        <v>0</v>
      </c>
      <c r="AL13" s="92">
        <f t="shared" si="0"/>
        <v>0</v>
      </c>
      <c r="AM13" s="92">
        <f t="shared" si="0"/>
        <v>0</v>
      </c>
      <c r="AN13" s="92">
        <f t="shared" ref="AN13:BO13" si="1">SUM(AN5:AN12)</f>
        <v>0</v>
      </c>
      <c r="AO13" s="92">
        <f t="shared" si="1"/>
        <v>0</v>
      </c>
      <c r="AP13" s="92">
        <f t="shared" si="1"/>
        <v>0</v>
      </c>
      <c r="AQ13" s="92">
        <f t="shared" si="1"/>
        <v>0</v>
      </c>
      <c r="AR13" s="92">
        <f t="shared" si="1"/>
        <v>0</v>
      </c>
      <c r="AS13" s="92">
        <f t="shared" si="1"/>
        <v>0</v>
      </c>
      <c r="AT13" s="92">
        <f t="shared" si="1"/>
        <v>0</v>
      </c>
      <c r="AU13" s="92">
        <f t="shared" si="1"/>
        <v>0</v>
      </c>
      <c r="AV13" s="92">
        <f t="shared" si="1"/>
        <v>0</v>
      </c>
      <c r="AW13" s="92">
        <f t="shared" si="1"/>
        <v>0</v>
      </c>
      <c r="AX13" s="92">
        <f t="shared" si="1"/>
        <v>0</v>
      </c>
      <c r="AY13" s="92">
        <f t="shared" si="1"/>
        <v>0</v>
      </c>
      <c r="AZ13" s="92">
        <f t="shared" si="1"/>
        <v>0</v>
      </c>
      <c r="BA13" s="92">
        <f t="shared" si="1"/>
        <v>0</v>
      </c>
      <c r="BB13" s="92">
        <f t="shared" si="1"/>
        <v>0</v>
      </c>
      <c r="BC13" s="92">
        <f t="shared" si="1"/>
        <v>0</v>
      </c>
      <c r="BD13" s="92">
        <f t="shared" si="1"/>
        <v>0</v>
      </c>
      <c r="BE13" s="92">
        <f t="shared" si="1"/>
        <v>0</v>
      </c>
      <c r="BF13" s="92">
        <f t="shared" si="1"/>
        <v>0</v>
      </c>
      <c r="BG13" s="92">
        <f t="shared" si="1"/>
        <v>0</v>
      </c>
      <c r="BH13" s="92">
        <f t="shared" si="1"/>
        <v>0</v>
      </c>
      <c r="BI13" s="92">
        <f t="shared" si="1"/>
        <v>0</v>
      </c>
      <c r="BJ13" s="92">
        <f t="shared" si="1"/>
        <v>0</v>
      </c>
      <c r="BK13" s="92">
        <f t="shared" si="1"/>
        <v>0</v>
      </c>
      <c r="BL13" s="92">
        <f t="shared" si="1"/>
        <v>0</v>
      </c>
      <c r="BM13" s="92">
        <f t="shared" si="1"/>
        <v>0</v>
      </c>
      <c r="BN13" s="92">
        <f t="shared" si="1"/>
        <v>0</v>
      </c>
      <c r="BO13" s="92">
        <f t="shared" si="1"/>
        <v>0</v>
      </c>
    </row>
    <row r="14" spans="1:67" x14ac:dyDescent="0.25">
      <c r="E14" s="134"/>
    </row>
    <row r="15" spans="1:67" x14ac:dyDescent="0.25">
      <c r="E15" s="134"/>
    </row>
    <row r="16" spans="1:67" x14ac:dyDescent="0.25">
      <c r="A16" s="123" t="s">
        <v>235</v>
      </c>
      <c r="B16" s="14"/>
      <c r="C16" s="14"/>
      <c r="D16" s="14"/>
      <c r="E16" s="55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</row>
    <row r="17" spans="1:67" x14ac:dyDescent="0.25">
      <c r="A17" s="74" t="s">
        <v>214</v>
      </c>
      <c r="B17" s="74" t="s">
        <v>236</v>
      </c>
      <c r="C17" s="74" t="s">
        <v>122</v>
      </c>
      <c r="D17" s="74" t="s">
        <v>237</v>
      </c>
      <c r="E17" s="138" t="s">
        <v>238</v>
      </c>
      <c r="F17" s="74"/>
      <c r="G17" s="74"/>
      <c r="H17" s="139">
        <v>1</v>
      </c>
      <c r="I17" s="139">
        <v>2</v>
      </c>
      <c r="J17" s="139">
        <v>3</v>
      </c>
      <c r="K17" s="139">
        <v>4</v>
      </c>
      <c r="L17" s="139">
        <v>5</v>
      </c>
      <c r="M17" s="139">
        <v>6</v>
      </c>
      <c r="N17" s="139">
        <v>7</v>
      </c>
      <c r="O17" s="139">
        <v>8</v>
      </c>
      <c r="P17" s="139">
        <v>9</v>
      </c>
      <c r="Q17" s="139">
        <v>10</v>
      </c>
      <c r="R17" s="139">
        <v>11</v>
      </c>
      <c r="S17" s="139">
        <v>12</v>
      </c>
      <c r="T17" s="139">
        <v>13</v>
      </c>
      <c r="U17" s="139">
        <v>14</v>
      </c>
      <c r="V17" s="139">
        <v>15</v>
      </c>
      <c r="W17" s="139">
        <v>16</v>
      </c>
      <c r="X17" s="139">
        <v>17</v>
      </c>
      <c r="Y17" s="139">
        <v>18</v>
      </c>
      <c r="Z17" s="139">
        <v>19</v>
      </c>
      <c r="AA17" s="139">
        <v>20</v>
      </c>
      <c r="AB17" s="139">
        <v>21</v>
      </c>
      <c r="AC17" s="139">
        <v>22</v>
      </c>
      <c r="AD17" s="139">
        <v>23</v>
      </c>
      <c r="AE17" s="139">
        <v>24</v>
      </c>
      <c r="AF17" s="139">
        <v>25</v>
      </c>
      <c r="AG17" s="139">
        <v>26</v>
      </c>
      <c r="AH17" s="139">
        <v>27</v>
      </c>
      <c r="AI17" s="139">
        <v>28</v>
      </c>
      <c r="AJ17" s="139">
        <v>29</v>
      </c>
      <c r="AK17" s="139">
        <v>30</v>
      </c>
      <c r="AL17" s="139">
        <v>31</v>
      </c>
      <c r="AM17" s="139">
        <v>32</v>
      </c>
      <c r="AN17" s="139">
        <v>33</v>
      </c>
      <c r="AO17" s="139">
        <v>34</v>
      </c>
      <c r="AP17" s="139">
        <v>35</v>
      </c>
      <c r="AQ17" s="139">
        <v>36</v>
      </c>
      <c r="AR17" s="139">
        <v>37</v>
      </c>
      <c r="AS17" s="139">
        <v>38</v>
      </c>
      <c r="AT17" s="139">
        <v>39</v>
      </c>
      <c r="AU17" s="139">
        <v>40</v>
      </c>
      <c r="AV17" s="139">
        <v>41</v>
      </c>
      <c r="AW17" s="139">
        <v>42</v>
      </c>
      <c r="AX17" s="139">
        <v>43</v>
      </c>
      <c r="AY17" s="139">
        <v>44</v>
      </c>
      <c r="AZ17" s="139">
        <v>45</v>
      </c>
      <c r="BA17" s="139">
        <v>46</v>
      </c>
      <c r="BB17" s="139">
        <v>47</v>
      </c>
      <c r="BC17" s="139">
        <v>48</v>
      </c>
      <c r="BD17" s="139">
        <v>49</v>
      </c>
      <c r="BE17" s="139">
        <v>50</v>
      </c>
      <c r="BF17" s="139">
        <v>51</v>
      </c>
      <c r="BG17" s="139">
        <v>52</v>
      </c>
      <c r="BH17" s="139">
        <v>53</v>
      </c>
      <c r="BI17" s="139">
        <v>54</v>
      </c>
      <c r="BJ17" s="139">
        <v>55</v>
      </c>
      <c r="BK17" s="139">
        <v>56</v>
      </c>
      <c r="BL17" s="139">
        <v>57</v>
      </c>
      <c r="BM17" s="139">
        <v>58</v>
      </c>
      <c r="BN17" s="139">
        <v>59</v>
      </c>
      <c r="BO17" s="139">
        <v>60</v>
      </c>
    </row>
    <row r="18" spans="1:67" x14ac:dyDescent="0.25">
      <c r="A18" s="7" t="str">
        <f>'Rent Roll'!A4</f>
        <v>4949 A1&amp;A2</v>
      </c>
      <c r="B18" s="7" t="str">
        <f>'Rent Roll'!B4</f>
        <v>Middle East Bakery</v>
      </c>
      <c r="C18" s="140">
        <f>'Rent Roll'!C4</f>
        <v>2230</v>
      </c>
      <c r="D18" s="14">
        <f>IFERROR(MATCH("Relet", 'Rent Roll'!V4:CD4, 0), 0)</f>
        <v>48</v>
      </c>
      <c r="E18" s="8">
        <f>('Rent Roll'!N4*'Rent Roll'!Q4+(1-'Rent Roll'!N4)*'Rent Roll'!P4)*'Rent Roll'!C4</f>
        <v>22300</v>
      </c>
      <c r="F18" s="14"/>
      <c r="G18" s="14"/>
      <c r="H18" s="9">
        <f>IF('Rent Roll'!V4="Relet",$E$18,0)</f>
        <v>0</v>
      </c>
      <c r="I18" s="9">
        <f>IF(AND('Rent Roll'!W4="Relet",'Rent Roll'!V4&lt;&gt;"Relet"),$E$18,0)</f>
        <v>0</v>
      </c>
      <c r="J18" s="9">
        <f>IF(AND('Rent Roll'!X4="Relet",'Rent Roll'!W4&lt;&gt;"Relet"),$E$18,0)</f>
        <v>0</v>
      </c>
      <c r="K18" s="9">
        <f>IF(AND('Rent Roll'!Y4="Relet",'Rent Roll'!X4&lt;&gt;"Relet"),$E$18,0)</f>
        <v>0</v>
      </c>
      <c r="L18" s="9">
        <f>IF(AND('Rent Roll'!Z4="Relet",'Rent Roll'!Y4&lt;&gt;"Relet"),$E$18,0)</f>
        <v>0</v>
      </c>
      <c r="M18" s="9">
        <f>IF(AND('Rent Roll'!AA4="Relet",'Rent Roll'!Z4&lt;&gt;"Relet"),$E$18,0)</f>
        <v>0</v>
      </c>
      <c r="N18" s="9">
        <f>IF(AND('Rent Roll'!AB4="Relet",'Rent Roll'!AA4&lt;&gt;"Relet"),$E$18,0)</f>
        <v>0</v>
      </c>
      <c r="O18" s="9">
        <f>IF(AND('Rent Roll'!AC4="Relet",'Rent Roll'!AB4&lt;&gt;"Relet"),$E$18,0)</f>
        <v>0</v>
      </c>
      <c r="P18" s="9">
        <f>IF(AND('Rent Roll'!AD4="Relet",'Rent Roll'!AC4&lt;&gt;"Relet"),$E$18,0)</f>
        <v>0</v>
      </c>
      <c r="Q18" s="9">
        <f>IF(AND('Rent Roll'!AE4="Relet",'Rent Roll'!AD4&lt;&gt;"Relet"),$E$18,0)</f>
        <v>0</v>
      </c>
      <c r="R18" s="9">
        <f>IF(AND('Rent Roll'!AF4="Relet",'Rent Roll'!AE4&lt;&gt;"Relet"),$E$18,0)</f>
        <v>0</v>
      </c>
      <c r="S18" s="9">
        <f>IF(AND('Rent Roll'!AG4="Relet",'Rent Roll'!AF4&lt;&gt;"Relet"),$E$18,0)</f>
        <v>0</v>
      </c>
      <c r="T18" s="9">
        <f>IF(AND('Rent Roll'!AH4="Relet",'Rent Roll'!AG4&lt;&gt;"Relet"),$E$18,0)</f>
        <v>0</v>
      </c>
      <c r="U18" s="9">
        <f>IF(AND('Rent Roll'!AI4="Relet",'Rent Roll'!AH4&lt;&gt;"Relet"),$E$18,0)</f>
        <v>0</v>
      </c>
      <c r="V18" s="9">
        <f>IF(AND('Rent Roll'!AJ4="Relet",'Rent Roll'!AI4&lt;&gt;"Relet"),$E$18,0)</f>
        <v>0</v>
      </c>
      <c r="W18" s="9">
        <f>IF(AND('Rent Roll'!AK4="Relet",'Rent Roll'!AJ4&lt;&gt;"Relet"),$E$18,0)</f>
        <v>0</v>
      </c>
      <c r="X18" s="9">
        <f>IF(AND('Rent Roll'!AL4="Relet",'Rent Roll'!AK4&lt;&gt;"Relet"),$E$18,0)</f>
        <v>0</v>
      </c>
      <c r="Y18" s="9">
        <f>IF(AND('Rent Roll'!AM4="Relet",'Rent Roll'!AL4&lt;&gt;"Relet"),$E$18,0)</f>
        <v>0</v>
      </c>
      <c r="Z18" s="9">
        <f>IF(AND('Rent Roll'!AN4="Relet",'Rent Roll'!AM4&lt;&gt;"Relet"),$E$18,0)</f>
        <v>0</v>
      </c>
      <c r="AA18" s="9">
        <f>IF(AND('Rent Roll'!AO4="Relet",'Rent Roll'!AN4&lt;&gt;"Relet"),$E$18,0)</f>
        <v>0</v>
      </c>
      <c r="AB18" s="9">
        <f>IF(AND('Rent Roll'!AP4="Relet",'Rent Roll'!AO4&lt;&gt;"Relet"),$E$18,0)</f>
        <v>0</v>
      </c>
      <c r="AC18" s="9">
        <f>IF(AND('Rent Roll'!AQ4="Relet",'Rent Roll'!AP4&lt;&gt;"Relet"),$E$18,0)</f>
        <v>0</v>
      </c>
      <c r="AD18" s="9">
        <f>IF(AND('Rent Roll'!AR4="Relet",'Rent Roll'!AQ4&lt;&gt;"Relet"),$E$18,0)</f>
        <v>0</v>
      </c>
      <c r="AE18" s="9">
        <f>IF(AND('Rent Roll'!AS4="Relet",'Rent Roll'!AR4&lt;&gt;"Relet"),$E$18,0)</f>
        <v>0</v>
      </c>
      <c r="AF18" s="9">
        <f>IF(AND('Rent Roll'!AT4="Relet",'Rent Roll'!AS4&lt;&gt;"Relet"),$E$18,0)</f>
        <v>0</v>
      </c>
      <c r="AG18" s="9">
        <f>IF(AND('Rent Roll'!AU4="Relet",'Rent Roll'!AT4&lt;&gt;"Relet"),$E$18,0)</f>
        <v>0</v>
      </c>
      <c r="AH18" s="9">
        <f>IF(AND('Rent Roll'!AV4="Relet",'Rent Roll'!AU4&lt;&gt;"Relet"),$E$18,0)</f>
        <v>0</v>
      </c>
      <c r="AI18" s="9">
        <f>IF(AND('Rent Roll'!AW4="Relet",'Rent Roll'!AV4&lt;&gt;"Relet"),$E$18,0)</f>
        <v>0</v>
      </c>
      <c r="AJ18" s="9">
        <f>IF(AND('Rent Roll'!AX4="Relet",'Rent Roll'!AW4&lt;&gt;"Relet"),$E$18,0)</f>
        <v>0</v>
      </c>
      <c r="AK18" s="9">
        <f>IF(AND('Rent Roll'!AY4="Relet",'Rent Roll'!AX4&lt;&gt;"Relet"),$E$18,0)</f>
        <v>0</v>
      </c>
      <c r="AL18" s="9">
        <f>IF(AND('Rent Roll'!AZ4="Relet",'Rent Roll'!AY4&lt;&gt;"Relet"),$E$18,0)</f>
        <v>0</v>
      </c>
      <c r="AM18" s="9">
        <f>IF(AND('Rent Roll'!BA4="Relet",'Rent Roll'!AZ4&lt;&gt;"Relet"),$E$18,0)</f>
        <v>0</v>
      </c>
      <c r="AN18" s="9">
        <f>IF(AND('Rent Roll'!BB4="Relet",'Rent Roll'!BA4&lt;&gt;"Relet"),$E$18,0)</f>
        <v>0</v>
      </c>
      <c r="AO18" s="9">
        <f>IF(AND('Rent Roll'!BC4="Relet",'Rent Roll'!BB4&lt;&gt;"Relet"),$E$18,0)</f>
        <v>0</v>
      </c>
      <c r="AP18" s="9">
        <f>IF(AND('Rent Roll'!BD4="Relet",'Rent Roll'!BC4&lt;&gt;"Relet"),$E$18,0)</f>
        <v>0</v>
      </c>
      <c r="AQ18" s="9">
        <f>IF(AND('Rent Roll'!BE4="Relet",'Rent Roll'!BD4&lt;&gt;"Relet"),$E$18,0)</f>
        <v>0</v>
      </c>
      <c r="AR18" s="9">
        <f>IF(AND('Rent Roll'!BF4="Relet",'Rent Roll'!BE4&lt;&gt;"Relet"),$E$18,0)</f>
        <v>0</v>
      </c>
      <c r="AS18" s="9">
        <f>IF(AND('Rent Roll'!BG4="Relet",'Rent Roll'!BF4&lt;&gt;"Relet"),$E$18,0)</f>
        <v>0</v>
      </c>
      <c r="AT18" s="9">
        <f>IF(AND('Rent Roll'!BH4="Relet",'Rent Roll'!BG4&lt;&gt;"Relet"),$E$18,0)</f>
        <v>0</v>
      </c>
      <c r="AU18" s="9">
        <f>IF(AND('Rent Roll'!BI4="Relet",'Rent Roll'!BH4&lt;&gt;"Relet"),$E$18,0)</f>
        <v>0</v>
      </c>
      <c r="AV18" s="9">
        <f>IF(AND('Rent Roll'!BJ4="Relet",'Rent Roll'!BI4&lt;&gt;"Relet"),$E$18,0)</f>
        <v>0</v>
      </c>
      <c r="AW18" s="9">
        <f>IF(AND('Rent Roll'!BK4="Relet",'Rent Roll'!BJ4&lt;&gt;"Relet"),$E$18,0)</f>
        <v>0</v>
      </c>
      <c r="AX18" s="9">
        <f>IF(AND('Rent Roll'!BL4="Relet",'Rent Roll'!BK4&lt;&gt;"Relet"),$E$18,0)</f>
        <v>0</v>
      </c>
      <c r="AY18" s="9">
        <f>IF(AND('Rent Roll'!BM4="Relet",'Rent Roll'!BL4&lt;&gt;"Relet"),$E$18,0)</f>
        <v>0</v>
      </c>
      <c r="AZ18" s="9">
        <f>IF(AND('Rent Roll'!BN4="Relet",'Rent Roll'!BM4&lt;&gt;"Relet"),$E$18,0)</f>
        <v>0</v>
      </c>
      <c r="BA18" s="9">
        <f>IF(AND('Rent Roll'!BO4="Relet",'Rent Roll'!BN4&lt;&gt;"Relet"),$E$18,0)</f>
        <v>0</v>
      </c>
      <c r="BB18" s="9">
        <f>IF(AND('Rent Roll'!BP4="Relet",'Rent Roll'!BO4&lt;&gt;"Relet"),$E$18,0)</f>
        <v>0</v>
      </c>
      <c r="BC18" s="9">
        <f>IF(AND('Rent Roll'!BQ4="Relet",'Rent Roll'!BP4&lt;&gt;"Relet"),$E$18,0)</f>
        <v>22300</v>
      </c>
      <c r="BD18" s="9">
        <f>IF(AND('Rent Roll'!BR4="Relet",'Rent Roll'!BQ4&lt;&gt;"Relet"),$E$18,0)</f>
        <v>0</v>
      </c>
      <c r="BE18" s="9">
        <f>IF(AND('Rent Roll'!BS4="Relet",'Rent Roll'!BR4&lt;&gt;"Relet"),$E$18,0)</f>
        <v>0</v>
      </c>
      <c r="BF18" s="9">
        <f>IF(AND('Rent Roll'!BT4="Relet",'Rent Roll'!BS4&lt;&gt;"Relet"),$E$18,0)</f>
        <v>0</v>
      </c>
      <c r="BG18" s="9">
        <f>IF(AND('Rent Roll'!BU4="Relet",'Rent Roll'!BT4&lt;&gt;"Relet"),$E$18,0)</f>
        <v>0</v>
      </c>
      <c r="BH18" s="9">
        <f>IF(AND('Rent Roll'!BV4="Relet",'Rent Roll'!BU4&lt;&gt;"Relet"),$E$18,0)</f>
        <v>0</v>
      </c>
      <c r="BI18" s="9">
        <f>IF(AND('Rent Roll'!BW4="Relet",'Rent Roll'!BV4&lt;&gt;"Relet"),$E$18,0)</f>
        <v>0</v>
      </c>
      <c r="BJ18" s="9">
        <f>IF(AND('Rent Roll'!BX4="Relet",'Rent Roll'!BW4&lt;&gt;"Relet"),$E$18,0)</f>
        <v>0</v>
      </c>
      <c r="BK18" s="9">
        <f>IF(AND('Rent Roll'!BY4="Relet",'Rent Roll'!BX4&lt;&gt;"Relet"),$E$18,0)</f>
        <v>0</v>
      </c>
      <c r="BL18" s="9">
        <f>IF(AND('Rent Roll'!BZ4="Relet",'Rent Roll'!BY4&lt;&gt;"Relet"),$E$18,0)</f>
        <v>0</v>
      </c>
      <c r="BM18" s="9">
        <f>IF(AND('Rent Roll'!CA4="Relet",'Rent Roll'!BZ4&lt;&gt;"Relet"),$E$18,0)</f>
        <v>0</v>
      </c>
      <c r="BN18" s="9">
        <f>IF(AND('Rent Roll'!CB4="Relet",'Rent Roll'!CA4&lt;&gt;"Relet"),$E$18,0)</f>
        <v>0</v>
      </c>
      <c r="BO18" s="9">
        <f>IF(AND('Rent Roll'!CC4="Relet",'Rent Roll'!CB4&lt;&gt;"Relet"),$E$18,0)</f>
        <v>0</v>
      </c>
    </row>
    <row r="19" spans="1:67" x14ac:dyDescent="0.25">
      <c r="A19" s="7" t="str">
        <f>'Rent Roll'!A7</f>
        <v>4949 B</v>
      </c>
      <c r="B19" s="7" t="str">
        <f>'Rent Roll'!B7</f>
        <v>VACANT</v>
      </c>
      <c r="C19" s="140">
        <f>'Rent Roll'!C7</f>
        <v>910</v>
      </c>
      <c r="D19" s="14"/>
      <c r="E19" s="8">
        <f>('Rent Roll'!N7*'Rent Roll'!Q7+(1-'Rent Roll'!N7)*'Rent Roll'!P7)*'Rent Roll'!C7</f>
        <v>22750</v>
      </c>
      <c r="F19" s="14"/>
      <c r="G19" s="14"/>
      <c r="H19" s="9">
        <f>IF('Rent Roll'!V7="Relet",$E$19,0)</f>
        <v>0</v>
      </c>
      <c r="I19" s="9">
        <f>IF(AND('Rent Roll'!W7="Relet",'Rent Roll'!V7&lt;&gt;"Relet"),$E$19,0)</f>
        <v>0</v>
      </c>
      <c r="J19" s="9">
        <f>IF(AND('Rent Roll'!X7="Relet",'Rent Roll'!W7&lt;&gt;"Relet"),$E$19,0)</f>
        <v>0</v>
      </c>
      <c r="K19" s="9">
        <f>IF(AND('Rent Roll'!Y7="Relet",'Rent Roll'!X7&lt;&gt;"Relet"),$E$19,0)</f>
        <v>0</v>
      </c>
      <c r="L19" s="9">
        <f>IF(AND('Rent Roll'!Z7="Relet",'Rent Roll'!Y7&lt;&gt;"Relet"),$E$19,0)</f>
        <v>0</v>
      </c>
      <c r="M19" s="9">
        <f>IF(AND('Rent Roll'!AA7="Relet",'Rent Roll'!Z7&lt;&gt;"Relet"),$E$19,0)</f>
        <v>22750</v>
      </c>
      <c r="N19" s="9">
        <f>IF(AND('Rent Roll'!AB7="Relet",'Rent Roll'!AA7&lt;&gt;"Relet"),$E$19,0)</f>
        <v>0</v>
      </c>
      <c r="O19" s="9">
        <f>IF(AND('Rent Roll'!AC7="Relet",'Rent Roll'!AB7&lt;&gt;"Relet"),$E$19,0)</f>
        <v>0</v>
      </c>
      <c r="P19" s="9">
        <f>IF(AND('Rent Roll'!AD7="Relet",'Rent Roll'!AC7&lt;&gt;"Relet"),$E$19,0)</f>
        <v>0</v>
      </c>
      <c r="Q19" s="9">
        <f>IF(AND('Rent Roll'!AE7="Relet",'Rent Roll'!AD7&lt;&gt;"Relet"),$E$19,0)</f>
        <v>0</v>
      </c>
      <c r="R19" s="9">
        <f>IF(AND('Rent Roll'!AF7="Relet",'Rent Roll'!AE7&lt;&gt;"Relet"),$E$19,0)</f>
        <v>0</v>
      </c>
      <c r="S19" s="9">
        <f>IF(AND('Rent Roll'!AG7="Relet",'Rent Roll'!AF7&lt;&gt;"Relet"),$E$19,0)</f>
        <v>0</v>
      </c>
      <c r="T19" s="9">
        <f>IF(AND('Rent Roll'!AH7="Relet",'Rent Roll'!AG7&lt;&gt;"Relet"),$E$19,0)</f>
        <v>0</v>
      </c>
      <c r="U19" s="9">
        <f>IF(AND('Rent Roll'!AI7="Relet",'Rent Roll'!AH7&lt;&gt;"Relet"),$E$19,0)</f>
        <v>0</v>
      </c>
      <c r="V19" s="9">
        <f>IF(AND('Rent Roll'!AJ7="Relet",'Rent Roll'!AI7&lt;&gt;"Relet"),$E$19,0)</f>
        <v>0</v>
      </c>
      <c r="W19" s="9">
        <f>IF(AND('Rent Roll'!AK7="Relet",'Rent Roll'!AJ7&lt;&gt;"Relet"),$E$19,0)</f>
        <v>0</v>
      </c>
      <c r="X19" s="9">
        <f>IF(AND('Rent Roll'!AL7="Relet",'Rent Roll'!AK7&lt;&gt;"Relet"),$E$19,0)</f>
        <v>0</v>
      </c>
      <c r="Y19" s="9">
        <f>IF(AND('Rent Roll'!AM7="Relet",'Rent Roll'!AL7&lt;&gt;"Relet"),$E$19,0)</f>
        <v>0</v>
      </c>
      <c r="Z19" s="9">
        <f>IF(AND('Rent Roll'!AN7="Relet",'Rent Roll'!AM7&lt;&gt;"Relet"),$E$19,0)</f>
        <v>0</v>
      </c>
      <c r="AA19" s="9">
        <f>IF(AND('Rent Roll'!AO7="Relet",'Rent Roll'!AN7&lt;&gt;"Relet"),$E$19,0)</f>
        <v>0</v>
      </c>
      <c r="AB19" s="9">
        <f>IF(AND('Rent Roll'!AP7="Relet",'Rent Roll'!AO7&lt;&gt;"Relet"),$E$19,0)</f>
        <v>0</v>
      </c>
      <c r="AC19" s="9">
        <f>IF(AND('Rent Roll'!AQ7="Relet",'Rent Roll'!AP7&lt;&gt;"Relet"),$E$19,0)</f>
        <v>0</v>
      </c>
      <c r="AD19" s="9">
        <f>IF(AND('Rent Roll'!AR7="Relet",'Rent Roll'!AQ7&lt;&gt;"Relet"),$E$19,0)</f>
        <v>0</v>
      </c>
      <c r="AE19" s="9">
        <f>IF(AND('Rent Roll'!AS7="Relet",'Rent Roll'!AR7&lt;&gt;"Relet"),$E$19,0)</f>
        <v>0</v>
      </c>
      <c r="AF19" s="9">
        <f>IF(AND('Rent Roll'!AT7="Relet",'Rent Roll'!AS7&lt;&gt;"Relet"),$E$19,0)</f>
        <v>0</v>
      </c>
      <c r="AG19" s="9">
        <f>IF(AND('Rent Roll'!AU7="Relet",'Rent Roll'!AT7&lt;&gt;"Relet"),$E$19,0)</f>
        <v>0</v>
      </c>
      <c r="AH19" s="9">
        <f>IF(AND('Rent Roll'!AV7="Relet",'Rent Roll'!AU7&lt;&gt;"Relet"),$E$19,0)</f>
        <v>0</v>
      </c>
      <c r="AI19" s="9">
        <f>IF(AND('Rent Roll'!AW7="Relet",'Rent Roll'!AV7&lt;&gt;"Relet"),$E$19,0)</f>
        <v>0</v>
      </c>
      <c r="AJ19" s="9">
        <f>IF(AND('Rent Roll'!AX7="Relet",'Rent Roll'!AW7&lt;&gt;"Relet"),$E$19,0)</f>
        <v>0</v>
      </c>
      <c r="AK19" s="9">
        <f>IF(AND('Rent Roll'!AY7="Relet",'Rent Roll'!AX7&lt;&gt;"Relet"),$E$19,0)</f>
        <v>0</v>
      </c>
      <c r="AL19" s="9">
        <f>IF(AND('Rent Roll'!AZ7="Relet",'Rent Roll'!AY7&lt;&gt;"Relet"),$E$19,0)</f>
        <v>0</v>
      </c>
      <c r="AM19" s="9">
        <f>IF(AND('Rent Roll'!BA7="Relet",'Rent Roll'!AZ7&lt;&gt;"Relet"),$E$19,0)</f>
        <v>0</v>
      </c>
      <c r="AN19" s="9">
        <f>IF(AND('Rent Roll'!BB7="Relet",'Rent Roll'!BA7&lt;&gt;"Relet"),$E$19,0)</f>
        <v>0</v>
      </c>
      <c r="AO19" s="9">
        <f>IF(AND('Rent Roll'!BC7="Relet",'Rent Roll'!BB7&lt;&gt;"Relet"),$E$19,0)</f>
        <v>0</v>
      </c>
      <c r="AP19" s="9">
        <f>IF(AND('Rent Roll'!BD7="Relet",'Rent Roll'!BC7&lt;&gt;"Relet"),$E$19,0)</f>
        <v>0</v>
      </c>
      <c r="AQ19" s="9">
        <f>IF(AND('Rent Roll'!BE7="Relet",'Rent Roll'!BD7&lt;&gt;"Relet"),$E$19,0)</f>
        <v>0</v>
      </c>
      <c r="AR19" s="9">
        <f>IF(AND('Rent Roll'!BF7="Relet",'Rent Roll'!BE7&lt;&gt;"Relet"),$E$19,0)</f>
        <v>0</v>
      </c>
      <c r="AS19" s="9">
        <f>IF(AND('Rent Roll'!BG7="Relet",'Rent Roll'!BF7&lt;&gt;"Relet"),$E$19,0)</f>
        <v>0</v>
      </c>
      <c r="AT19" s="9">
        <f>IF(AND('Rent Roll'!BH7="Relet",'Rent Roll'!BG7&lt;&gt;"Relet"),$E$19,0)</f>
        <v>0</v>
      </c>
      <c r="AU19" s="9">
        <f>IF(AND('Rent Roll'!BI7="Relet",'Rent Roll'!BH7&lt;&gt;"Relet"),$E$19,0)</f>
        <v>0</v>
      </c>
      <c r="AV19" s="9">
        <f>IF(AND('Rent Roll'!BJ7="Relet",'Rent Roll'!BI7&lt;&gt;"Relet"),$E$19,0)</f>
        <v>0</v>
      </c>
      <c r="AW19" s="9">
        <f>IF(AND('Rent Roll'!BK7="Relet",'Rent Roll'!BJ7&lt;&gt;"Relet"),$E$19,0)</f>
        <v>0</v>
      </c>
      <c r="AX19" s="9">
        <f>IF(AND('Rent Roll'!BL7="Relet",'Rent Roll'!BK7&lt;&gt;"Relet"),$E$19,0)</f>
        <v>0</v>
      </c>
      <c r="AY19" s="9">
        <f>IF(AND('Rent Roll'!BM7="Relet",'Rent Roll'!BL7&lt;&gt;"Relet"),$E$19,0)</f>
        <v>0</v>
      </c>
      <c r="AZ19" s="9">
        <f>IF(AND('Rent Roll'!BN7="Relet",'Rent Roll'!BM7&lt;&gt;"Relet"),$E$19,0)</f>
        <v>0</v>
      </c>
      <c r="BA19" s="9">
        <f>IF(AND('Rent Roll'!BO7="Relet",'Rent Roll'!BN7&lt;&gt;"Relet"),$E$19,0)</f>
        <v>0</v>
      </c>
      <c r="BB19" s="9">
        <f>IF(AND('Rent Roll'!BP7="Relet",'Rent Roll'!BO7&lt;&gt;"Relet"),$E$19,0)</f>
        <v>0</v>
      </c>
      <c r="BC19" s="9">
        <f>IF(AND('Rent Roll'!BQ7="Relet",'Rent Roll'!BP7&lt;&gt;"Relet"),$E$19,0)</f>
        <v>0</v>
      </c>
      <c r="BD19" s="9">
        <f>IF(AND('Rent Roll'!BR7="Relet",'Rent Roll'!BQ7&lt;&gt;"Relet"),$E$19,0)</f>
        <v>0</v>
      </c>
      <c r="BE19" s="9">
        <f>IF(AND('Rent Roll'!BS7="Relet",'Rent Roll'!BR7&lt;&gt;"Relet"),$E$19,0)</f>
        <v>0</v>
      </c>
      <c r="BF19" s="9">
        <f>IF(AND('Rent Roll'!BT7="Relet",'Rent Roll'!BS7&lt;&gt;"Relet"),$E$19,0)</f>
        <v>0</v>
      </c>
      <c r="BG19" s="9">
        <f>IF(AND('Rent Roll'!BU7="Relet",'Rent Roll'!BT7&lt;&gt;"Relet"),$E$19,0)</f>
        <v>0</v>
      </c>
      <c r="BH19" s="9">
        <f>IF(AND('Rent Roll'!BV7="Relet",'Rent Roll'!BU7&lt;&gt;"Relet"),$E$19,0)</f>
        <v>0</v>
      </c>
      <c r="BI19" s="9">
        <f>IF(AND('Rent Roll'!BW7="Relet",'Rent Roll'!BV7&lt;&gt;"Relet"),$E$19,0)</f>
        <v>0</v>
      </c>
      <c r="BJ19" s="9">
        <f>IF(AND('Rent Roll'!BX7="Relet",'Rent Roll'!BW7&lt;&gt;"Relet"),$E$19,0)</f>
        <v>0</v>
      </c>
      <c r="BK19" s="9">
        <f>IF(AND('Rent Roll'!BY7="Relet",'Rent Roll'!BX7&lt;&gt;"Relet"),$E$19,0)</f>
        <v>0</v>
      </c>
      <c r="BL19" s="9">
        <f>IF(AND('Rent Roll'!BZ7="Relet",'Rent Roll'!BY7&lt;&gt;"Relet"),$E$19,0)</f>
        <v>0</v>
      </c>
      <c r="BM19" s="9">
        <f>IF(AND('Rent Roll'!CA7="Relet",'Rent Roll'!BZ7&lt;&gt;"Relet"),$E$19,0)</f>
        <v>0</v>
      </c>
      <c r="BN19" s="9">
        <f>IF(AND('Rent Roll'!CB7="Relet",'Rent Roll'!CA7&lt;&gt;"Relet"),$E$19,0)</f>
        <v>0</v>
      </c>
      <c r="BO19" s="9">
        <f>IF(AND('Rent Roll'!CC7="Relet",'Rent Roll'!CB7&lt;&gt;"Relet"),$E$19,0)</f>
        <v>0</v>
      </c>
    </row>
    <row r="20" spans="1:67" x14ac:dyDescent="0.25">
      <c r="A20" s="7" t="str">
        <f>'Rent Roll'!A10</f>
        <v>4949 C</v>
      </c>
      <c r="B20" s="7" t="str">
        <f>'Rent Roll'!B10</f>
        <v>Circle Pizza</v>
      </c>
      <c r="C20" s="140">
        <f>'Rent Roll'!C10</f>
        <v>3620</v>
      </c>
      <c r="D20" s="14"/>
      <c r="E20" s="8">
        <f>('Rent Roll'!N10*'Rent Roll'!Q10+(1-'Rent Roll'!N10)*'Rent Roll'!P10)*'Rent Roll'!C10</f>
        <v>36200</v>
      </c>
      <c r="F20" s="14"/>
      <c r="G20" s="14"/>
      <c r="H20" s="9">
        <f>IF('Rent Roll'!V10="Relet",$E$20,0)</f>
        <v>0</v>
      </c>
      <c r="I20" s="9">
        <f>IF(AND('Rent Roll'!W10="Relet",'Rent Roll'!V10&lt;&gt;"Relet"),$E$20,0)</f>
        <v>0</v>
      </c>
      <c r="J20" s="9">
        <f>IF(AND('Rent Roll'!X10="Relet",'Rent Roll'!W10&lt;&gt;"Relet"),$E$20,0)</f>
        <v>0</v>
      </c>
      <c r="K20" s="9">
        <f>IF(AND('Rent Roll'!Y10="Relet",'Rent Roll'!X10&lt;&gt;"Relet"),$E$20,0)</f>
        <v>0</v>
      </c>
      <c r="L20" s="9">
        <f>IF(AND('Rent Roll'!Z10="Relet",'Rent Roll'!Y10&lt;&gt;"Relet"),$E$20,0)</f>
        <v>0</v>
      </c>
      <c r="M20" s="9">
        <f>IF(AND('Rent Roll'!AA10="Relet",'Rent Roll'!Z10&lt;&gt;"Relet"),$E$20,0)</f>
        <v>0</v>
      </c>
      <c r="N20" s="9">
        <f>IF(AND('Rent Roll'!AB10="Relet",'Rent Roll'!AA10&lt;&gt;"Relet"),$E$20,0)</f>
        <v>0</v>
      </c>
      <c r="O20" s="9">
        <f>IF(AND('Rent Roll'!AC10="Relet",'Rent Roll'!AB10&lt;&gt;"Relet"),$E$20,0)</f>
        <v>0</v>
      </c>
      <c r="P20" s="9">
        <f>IF(AND('Rent Roll'!AD10="Relet",'Rent Roll'!AC10&lt;&gt;"Relet"),$E$20,0)</f>
        <v>0</v>
      </c>
      <c r="Q20" s="9">
        <f>IF(AND('Rent Roll'!AE10="Relet",'Rent Roll'!AD10&lt;&gt;"Relet"),$E$20,0)</f>
        <v>0</v>
      </c>
      <c r="R20" s="9">
        <f>IF(AND('Rent Roll'!AF10="Relet",'Rent Roll'!AE10&lt;&gt;"Relet"),$E$20,0)</f>
        <v>0</v>
      </c>
      <c r="S20" s="9">
        <f>IF(AND('Rent Roll'!AG10="Relet",'Rent Roll'!AF10&lt;&gt;"Relet"),$E$20,0)</f>
        <v>0</v>
      </c>
      <c r="T20" s="9">
        <f>IF(AND('Rent Roll'!AH10="Relet",'Rent Roll'!AG10&lt;&gt;"Relet"),$E$20,0)</f>
        <v>0</v>
      </c>
      <c r="U20" s="9">
        <f>IF(AND('Rent Roll'!AI10="Relet",'Rent Roll'!AH10&lt;&gt;"Relet"),$E$20,0)</f>
        <v>0</v>
      </c>
      <c r="V20" s="9">
        <f>IF(AND('Rent Roll'!AJ10="Relet",'Rent Roll'!AI10&lt;&gt;"Relet"),$E$20,0)</f>
        <v>0</v>
      </c>
      <c r="W20" s="9">
        <f>IF(AND('Rent Roll'!AK10="Relet",'Rent Roll'!AJ10&lt;&gt;"Relet"),$E$20,0)</f>
        <v>0</v>
      </c>
      <c r="X20" s="9">
        <f>IF(AND('Rent Roll'!AL10="Relet",'Rent Roll'!AK10&lt;&gt;"Relet"),$E$20,0)</f>
        <v>0</v>
      </c>
      <c r="Y20" s="9">
        <f>IF(AND('Rent Roll'!AM10="Relet",'Rent Roll'!AL10&lt;&gt;"Relet"),$E$20,0)</f>
        <v>0</v>
      </c>
      <c r="Z20" s="9">
        <f>IF(AND('Rent Roll'!AN10="Relet",'Rent Roll'!AM10&lt;&gt;"Relet"),$E$20,0)</f>
        <v>0</v>
      </c>
      <c r="AA20" s="9">
        <f>IF(AND('Rent Roll'!AO10="Relet",'Rent Roll'!AN10&lt;&gt;"Relet"),$E$20,0)</f>
        <v>0</v>
      </c>
      <c r="AB20" s="9">
        <f>IF(AND('Rent Roll'!AP10="Relet",'Rent Roll'!AO10&lt;&gt;"Relet"),$E$20,0)</f>
        <v>0</v>
      </c>
      <c r="AC20" s="9">
        <f>IF(AND('Rent Roll'!AQ10="Relet",'Rent Roll'!AP10&lt;&gt;"Relet"),$E$20,0)</f>
        <v>0</v>
      </c>
      <c r="AD20" s="9">
        <f>IF(AND('Rent Roll'!AR10="Relet",'Rent Roll'!AQ10&lt;&gt;"Relet"),$E$20,0)</f>
        <v>0</v>
      </c>
      <c r="AE20" s="9">
        <f>IF(AND('Rent Roll'!AS10="Relet",'Rent Roll'!AR10&lt;&gt;"Relet"),$E$20,0)</f>
        <v>0</v>
      </c>
      <c r="AF20" s="9">
        <f>IF(AND('Rent Roll'!AT10="Relet",'Rent Roll'!AS10&lt;&gt;"Relet"),$E$20,0)</f>
        <v>0</v>
      </c>
      <c r="AG20" s="9">
        <f>IF(AND('Rent Roll'!AU10="Relet",'Rent Roll'!AT10&lt;&gt;"Relet"),$E$20,0)</f>
        <v>0</v>
      </c>
      <c r="AH20" s="9">
        <f>IF(AND('Rent Roll'!AV10="Relet",'Rent Roll'!AU10&lt;&gt;"Relet"),$E$20,0)</f>
        <v>0</v>
      </c>
      <c r="AI20" s="9">
        <f>IF(AND('Rent Roll'!AW10="Relet",'Rent Roll'!AV10&lt;&gt;"Relet"),$E$20,0)</f>
        <v>0</v>
      </c>
      <c r="AJ20" s="9">
        <f>IF(AND('Rent Roll'!AX10="Relet",'Rent Roll'!AW10&lt;&gt;"Relet"),$E$20,0)</f>
        <v>0</v>
      </c>
      <c r="AK20" s="9">
        <f>IF(AND('Rent Roll'!AY10="Relet",'Rent Roll'!AX10&lt;&gt;"Relet"),$E$20,0)</f>
        <v>0</v>
      </c>
      <c r="AL20" s="9">
        <f>IF(AND('Rent Roll'!AZ10="Relet",'Rent Roll'!AY10&lt;&gt;"Relet"),$E$20,0)</f>
        <v>0</v>
      </c>
      <c r="AM20" s="9">
        <f>IF(AND('Rent Roll'!BA10="Relet",'Rent Roll'!AZ10&lt;&gt;"Relet"),$E$20,0)</f>
        <v>0</v>
      </c>
      <c r="AN20" s="9">
        <f>IF(AND('Rent Roll'!BB10="Relet",'Rent Roll'!BA10&lt;&gt;"Relet"),$E$20,0)</f>
        <v>0</v>
      </c>
      <c r="AO20" s="9">
        <f>IF(AND('Rent Roll'!BC10="Relet",'Rent Roll'!BB10&lt;&gt;"Relet"),$E$20,0)</f>
        <v>0</v>
      </c>
      <c r="AP20" s="9">
        <f>IF(AND('Rent Roll'!BD10="Relet",'Rent Roll'!BC10&lt;&gt;"Relet"),$E$20,0)</f>
        <v>0</v>
      </c>
      <c r="AQ20" s="9">
        <f>IF(AND('Rent Roll'!BE10="Relet",'Rent Roll'!BD10&lt;&gt;"Relet"),$E$20,0)</f>
        <v>0</v>
      </c>
      <c r="AR20" s="9">
        <f>IF(AND('Rent Roll'!BF10="Relet",'Rent Roll'!BE10&lt;&gt;"Relet"),$E$20,0)</f>
        <v>0</v>
      </c>
      <c r="AS20" s="9">
        <f>IF(AND('Rent Roll'!BG10="Relet",'Rent Roll'!BF10&lt;&gt;"Relet"),$E$20,0)</f>
        <v>0</v>
      </c>
      <c r="AT20" s="9">
        <f>IF(AND('Rent Roll'!BH10="Relet",'Rent Roll'!BG10&lt;&gt;"Relet"),$E$20,0)</f>
        <v>0</v>
      </c>
      <c r="AU20" s="9">
        <f>IF(AND('Rent Roll'!BI10="Relet",'Rent Roll'!BH10&lt;&gt;"Relet"),$E$20,0)</f>
        <v>0</v>
      </c>
      <c r="AV20" s="9">
        <f>IF(AND('Rent Roll'!BJ10="Relet",'Rent Roll'!BI10&lt;&gt;"Relet"),$E$20,0)</f>
        <v>0</v>
      </c>
      <c r="AW20" s="9">
        <f>IF(AND('Rent Roll'!BK10="Relet",'Rent Roll'!BJ10&lt;&gt;"Relet"),$E$20,0)</f>
        <v>0</v>
      </c>
      <c r="AX20" s="9">
        <f>IF(AND('Rent Roll'!BL10="Relet",'Rent Roll'!BK10&lt;&gt;"Relet"),$E$20,0)</f>
        <v>0</v>
      </c>
      <c r="AY20" s="9">
        <f>IF(AND('Rent Roll'!BM10="Relet",'Rent Roll'!BL10&lt;&gt;"Relet"),$E$20,0)</f>
        <v>0</v>
      </c>
      <c r="AZ20" s="9">
        <f>IF(AND('Rent Roll'!BN10="Relet",'Rent Roll'!BM10&lt;&gt;"Relet"),$E$20,0)</f>
        <v>0</v>
      </c>
      <c r="BA20" s="9">
        <f>IF(AND('Rent Roll'!BO10="Relet",'Rent Roll'!BN10&lt;&gt;"Relet"),$E$20,0)</f>
        <v>0</v>
      </c>
      <c r="BB20" s="9">
        <f>IF(AND('Rent Roll'!BP10="Relet",'Rent Roll'!BO10&lt;&gt;"Relet"),$E$20,0)</f>
        <v>0</v>
      </c>
      <c r="BC20" s="9">
        <f>IF(AND('Rent Roll'!BQ10="Relet",'Rent Roll'!BP10&lt;&gt;"Relet"),$E$20,0)</f>
        <v>0</v>
      </c>
      <c r="BD20" s="9">
        <f>IF(AND('Rent Roll'!BR10="Relet",'Rent Roll'!BQ10&lt;&gt;"Relet"),$E$20,0)</f>
        <v>0</v>
      </c>
      <c r="BE20" s="9">
        <f>IF(AND('Rent Roll'!BS10="Relet",'Rent Roll'!BR10&lt;&gt;"Relet"),$E$20,0)</f>
        <v>0</v>
      </c>
      <c r="BF20" s="9">
        <f>IF(AND('Rent Roll'!BT10="Relet",'Rent Roll'!BS10&lt;&gt;"Relet"),$E$20,0)</f>
        <v>0</v>
      </c>
      <c r="BG20" s="9">
        <f>IF(AND('Rent Roll'!BU10="Relet",'Rent Roll'!BT10&lt;&gt;"Relet"),$E$20,0)</f>
        <v>0</v>
      </c>
      <c r="BH20" s="9">
        <f>IF(AND('Rent Roll'!BV10="Relet",'Rent Roll'!BU10&lt;&gt;"Relet"),$E$20,0)</f>
        <v>0</v>
      </c>
      <c r="BI20" s="9">
        <f>IF(AND('Rent Roll'!BW10="Relet",'Rent Roll'!BV10&lt;&gt;"Relet"),$E$20,0)</f>
        <v>0</v>
      </c>
      <c r="BJ20" s="9">
        <f>IF(AND('Rent Roll'!BX10="Relet",'Rent Roll'!BW10&lt;&gt;"Relet"),$E$20,0)</f>
        <v>0</v>
      </c>
      <c r="BK20" s="9">
        <f>IF(AND('Rent Roll'!BY10="Relet",'Rent Roll'!BX10&lt;&gt;"Relet"),$E$20,0)</f>
        <v>0</v>
      </c>
      <c r="BL20" s="9">
        <f>IF(AND('Rent Roll'!BZ10="Relet",'Rent Roll'!BY10&lt;&gt;"Relet"),$E$20,0)</f>
        <v>0</v>
      </c>
      <c r="BM20" s="9">
        <f>IF(AND('Rent Roll'!CA10="Relet",'Rent Roll'!BZ10&lt;&gt;"Relet"),$E$20,0)</f>
        <v>0</v>
      </c>
      <c r="BN20" s="9">
        <f>IF(AND('Rent Roll'!CB10="Relet",'Rent Roll'!CA10&lt;&gt;"Relet"),$E$20,0)</f>
        <v>0</v>
      </c>
      <c r="BO20" s="9">
        <f>IF(AND('Rent Roll'!CC10="Relet",'Rent Roll'!CB10&lt;&gt;"Relet"),$E$20,0)</f>
        <v>36200</v>
      </c>
    </row>
    <row r="21" spans="1:67" x14ac:dyDescent="0.25">
      <c r="A21" s="7" t="str">
        <f>'Rent Roll'!A13</f>
        <v>4949 D&amp;E</v>
      </c>
      <c r="B21" s="7" t="str">
        <f>'Rent Roll'!B13</f>
        <v>Silver Sake</v>
      </c>
      <c r="C21" s="140">
        <f>'Rent Roll'!C13</f>
        <v>1990</v>
      </c>
      <c r="D21" s="14"/>
      <c r="E21" s="8">
        <f>('Rent Roll'!N13*'Rent Roll'!Q13+(1-'Rent Roll'!N13)*'Rent Roll'!P13)*'Rent Roll'!C13</f>
        <v>29850</v>
      </c>
      <c r="F21" s="14"/>
      <c r="G21" s="14"/>
      <c r="H21" s="9">
        <f>IF('Rent Roll'!V13="Relet",$E$21,0)</f>
        <v>0</v>
      </c>
      <c r="I21" s="9">
        <f>IF(AND('Rent Roll'!W13="Relet",'Rent Roll'!V13&lt;&gt;"Relet"),$E$21,0)</f>
        <v>0</v>
      </c>
      <c r="J21" s="9">
        <f>IF(AND('Rent Roll'!X13="Relet",'Rent Roll'!W13&lt;&gt;"Relet"),$E$21,0)</f>
        <v>0</v>
      </c>
      <c r="K21" s="9">
        <f>IF(AND('Rent Roll'!Y13="Relet",'Rent Roll'!X13&lt;&gt;"Relet"),$E$21,0)</f>
        <v>0</v>
      </c>
      <c r="L21" s="9">
        <f>IF(AND('Rent Roll'!Z13="Relet",'Rent Roll'!Y13&lt;&gt;"Relet"),$E$21,0)</f>
        <v>0</v>
      </c>
      <c r="M21" s="9">
        <f>IF(AND('Rent Roll'!AA13="Relet",'Rent Roll'!Z13&lt;&gt;"Relet"),$E$21,0)</f>
        <v>0</v>
      </c>
      <c r="N21" s="9">
        <f>IF(AND('Rent Roll'!AB13="Relet",'Rent Roll'!AA13&lt;&gt;"Relet"),$E$21,0)</f>
        <v>29850</v>
      </c>
      <c r="O21" s="9">
        <f>IF(AND('Rent Roll'!AC13="Relet",'Rent Roll'!AB13&lt;&gt;"Relet"),$E$21,0)</f>
        <v>0</v>
      </c>
      <c r="P21" s="9">
        <f>IF(AND('Rent Roll'!AD13="Relet",'Rent Roll'!AC13&lt;&gt;"Relet"),$E$21,0)</f>
        <v>0</v>
      </c>
      <c r="Q21" s="9">
        <f>IF(AND('Rent Roll'!AE13="Relet",'Rent Roll'!AD13&lt;&gt;"Relet"),$E$21,0)</f>
        <v>0</v>
      </c>
      <c r="R21" s="9">
        <f>IF(AND('Rent Roll'!AF13="Relet",'Rent Roll'!AE13&lt;&gt;"Relet"),$E$21,0)</f>
        <v>0</v>
      </c>
      <c r="S21" s="9">
        <f>IF(AND('Rent Roll'!AG13="Relet",'Rent Roll'!AF13&lt;&gt;"Relet"),$E$21,0)</f>
        <v>0</v>
      </c>
      <c r="T21" s="9">
        <f>IF(AND('Rent Roll'!AH13="Relet",'Rent Roll'!AG13&lt;&gt;"Relet"),$E$21,0)</f>
        <v>0</v>
      </c>
      <c r="U21" s="9">
        <f>IF(AND('Rent Roll'!AI13="Relet",'Rent Roll'!AH13&lt;&gt;"Relet"),$E$21,0)</f>
        <v>0</v>
      </c>
      <c r="V21" s="9">
        <f>IF(AND('Rent Roll'!AJ13="Relet",'Rent Roll'!AI13&lt;&gt;"Relet"),$E$21,0)</f>
        <v>0</v>
      </c>
      <c r="W21" s="9">
        <f>IF(AND('Rent Roll'!AK13="Relet",'Rent Roll'!AJ13&lt;&gt;"Relet"),$E$21,0)</f>
        <v>0</v>
      </c>
      <c r="X21" s="9">
        <f>IF(AND('Rent Roll'!AL13="Relet",'Rent Roll'!AK13&lt;&gt;"Relet"),$E$21,0)</f>
        <v>0</v>
      </c>
      <c r="Y21" s="9">
        <f>IF(AND('Rent Roll'!AM13="Relet",'Rent Roll'!AL13&lt;&gt;"Relet"),$E$21,0)</f>
        <v>0</v>
      </c>
      <c r="Z21" s="9">
        <f>IF(AND('Rent Roll'!AN13="Relet",'Rent Roll'!AM13&lt;&gt;"Relet"),$E$21,0)</f>
        <v>0</v>
      </c>
      <c r="AA21" s="9">
        <f>IF(AND('Rent Roll'!AO13="Relet",'Rent Roll'!AN13&lt;&gt;"Relet"),$E$21,0)</f>
        <v>0</v>
      </c>
      <c r="AB21" s="9">
        <f>IF(AND('Rent Roll'!AP13="Relet",'Rent Roll'!AO13&lt;&gt;"Relet"),$E$21,0)</f>
        <v>0</v>
      </c>
      <c r="AC21" s="9">
        <f>IF(AND('Rent Roll'!AQ13="Relet",'Rent Roll'!AP13&lt;&gt;"Relet"),$E$21,0)</f>
        <v>0</v>
      </c>
      <c r="AD21" s="9">
        <f>IF(AND('Rent Roll'!AR13="Relet",'Rent Roll'!AQ13&lt;&gt;"Relet"),$E$21,0)</f>
        <v>0</v>
      </c>
      <c r="AE21" s="9">
        <f>IF(AND('Rent Roll'!AS13="Relet",'Rent Roll'!AR13&lt;&gt;"Relet"),$E$21,0)</f>
        <v>0</v>
      </c>
      <c r="AF21" s="9">
        <f>IF(AND('Rent Roll'!AT13="Relet",'Rent Roll'!AS13&lt;&gt;"Relet"),$E$21,0)</f>
        <v>0</v>
      </c>
      <c r="AG21" s="9">
        <f>IF(AND('Rent Roll'!AU13="Relet",'Rent Roll'!AT13&lt;&gt;"Relet"),$E$21,0)</f>
        <v>0</v>
      </c>
      <c r="AH21" s="9">
        <f>IF(AND('Rent Roll'!AV13="Relet",'Rent Roll'!AU13&lt;&gt;"Relet"),$E$21,0)</f>
        <v>0</v>
      </c>
      <c r="AI21" s="9">
        <f>IF(AND('Rent Roll'!AW13="Relet",'Rent Roll'!AV13&lt;&gt;"Relet"),$E$21,0)</f>
        <v>0</v>
      </c>
      <c r="AJ21" s="9">
        <f>IF(AND('Rent Roll'!AX13="Relet",'Rent Roll'!AW13&lt;&gt;"Relet"),$E$21,0)</f>
        <v>0</v>
      </c>
      <c r="AK21" s="9">
        <f>IF(AND('Rent Roll'!AY13="Relet",'Rent Roll'!AX13&lt;&gt;"Relet"),$E$21,0)</f>
        <v>0</v>
      </c>
      <c r="AL21" s="9">
        <f>IF(AND('Rent Roll'!AZ13="Relet",'Rent Roll'!AY13&lt;&gt;"Relet"),$E$21,0)</f>
        <v>0</v>
      </c>
      <c r="AM21" s="9">
        <f>IF(AND('Rent Roll'!BA13="Relet",'Rent Roll'!AZ13&lt;&gt;"Relet"),$E$21,0)</f>
        <v>0</v>
      </c>
      <c r="AN21" s="9">
        <f>IF(AND('Rent Roll'!BB13="Relet",'Rent Roll'!BA13&lt;&gt;"Relet"),$E$21,0)</f>
        <v>0</v>
      </c>
      <c r="AO21" s="9">
        <f>IF(AND('Rent Roll'!BC13="Relet",'Rent Roll'!BB13&lt;&gt;"Relet"),$E$21,0)</f>
        <v>0</v>
      </c>
      <c r="AP21" s="9">
        <f>IF(AND('Rent Roll'!BD13="Relet",'Rent Roll'!BC13&lt;&gt;"Relet"),$E$21,0)</f>
        <v>0</v>
      </c>
      <c r="AQ21" s="9">
        <f>IF(AND('Rent Roll'!BE13="Relet",'Rent Roll'!BD13&lt;&gt;"Relet"),$E$21,0)</f>
        <v>0</v>
      </c>
      <c r="AR21" s="9">
        <f>IF(AND('Rent Roll'!BF13="Relet",'Rent Roll'!BE13&lt;&gt;"Relet"),$E$21,0)</f>
        <v>0</v>
      </c>
      <c r="AS21" s="9">
        <f>IF(AND('Rent Roll'!BG13="Relet",'Rent Roll'!BF13&lt;&gt;"Relet"),$E$21,0)</f>
        <v>0</v>
      </c>
      <c r="AT21" s="9">
        <f>IF(AND('Rent Roll'!BH13="Relet",'Rent Roll'!BG13&lt;&gt;"Relet"),$E$21,0)</f>
        <v>0</v>
      </c>
      <c r="AU21" s="9">
        <f>IF(AND('Rent Roll'!BI13="Relet",'Rent Roll'!BH13&lt;&gt;"Relet"),$E$21,0)</f>
        <v>0</v>
      </c>
      <c r="AV21" s="9">
        <f>IF(AND('Rent Roll'!BJ13="Relet",'Rent Roll'!BI13&lt;&gt;"Relet"),$E$21,0)</f>
        <v>0</v>
      </c>
      <c r="AW21" s="9">
        <f>IF(AND('Rent Roll'!BK13="Relet",'Rent Roll'!BJ13&lt;&gt;"Relet"),$E$21,0)</f>
        <v>0</v>
      </c>
      <c r="AX21" s="9">
        <f>IF(AND('Rent Roll'!BL13="Relet",'Rent Roll'!BK13&lt;&gt;"Relet"),$E$21,0)</f>
        <v>0</v>
      </c>
      <c r="AY21" s="9">
        <f>IF(AND('Rent Roll'!BM13="Relet",'Rent Roll'!BL13&lt;&gt;"Relet"),$E$21,0)</f>
        <v>0</v>
      </c>
      <c r="AZ21" s="9">
        <f>IF(AND('Rent Roll'!BN13="Relet",'Rent Roll'!BM13&lt;&gt;"Relet"),$E$21,0)</f>
        <v>0</v>
      </c>
      <c r="BA21" s="9">
        <f>IF(AND('Rent Roll'!BO13="Relet",'Rent Roll'!BN13&lt;&gt;"Relet"),$E$21,0)</f>
        <v>0</v>
      </c>
      <c r="BB21" s="9">
        <f>IF(AND('Rent Roll'!BP13="Relet",'Rent Roll'!BO13&lt;&gt;"Relet"),$E$21,0)</f>
        <v>0</v>
      </c>
      <c r="BC21" s="9">
        <f>IF(AND('Rent Roll'!BQ13="Relet",'Rent Roll'!BP13&lt;&gt;"Relet"),$E$21,0)</f>
        <v>0</v>
      </c>
      <c r="BD21" s="9">
        <f>IF(AND('Rent Roll'!BR13="Relet",'Rent Roll'!BQ13&lt;&gt;"Relet"),$E$21,0)</f>
        <v>0</v>
      </c>
      <c r="BE21" s="9">
        <f>IF(AND('Rent Roll'!BS13="Relet",'Rent Roll'!BR13&lt;&gt;"Relet"),$E$21,0)</f>
        <v>0</v>
      </c>
      <c r="BF21" s="9">
        <f>IF(AND('Rent Roll'!BT13="Relet",'Rent Roll'!BS13&lt;&gt;"Relet"),$E$21,0)</f>
        <v>0</v>
      </c>
      <c r="BG21" s="9">
        <f>IF(AND('Rent Roll'!BU13="Relet",'Rent Roll'!BT13&lt;&gt;"Relet"),$E$21,0)</f>
        <v>0</v>
      </c>
      <c r="BH21" s="9">
        <f>IF(AND('Rent Roll'!BV13="Relet",'Rent Roll'!BU13&lt;&gt;"Relet"),$E$21,0)</f>
        <v>0</v>
      </c>
      <c r="BI21" s="9">
        <f>IF(AND('Rent Roll'!BW13="Relet",'Rent Roll'!BV13&lt;&gt;"Relet"),$E$21,0)</f>
        <v>0</v>
      </c>
      <c r="BJ21" s="9">
        <f>IF(AND('Rent Roll'!BX13="Relet",'Rent Roll'!BW13&lt;&gt;"Relet"),$E$21,0)</f>
        <v>0</v>
      </c>
      <c r="BK21" s="9">
        <f>IF(AND('Rent Roll'!BY13="Relet",'Rent Roll'!BX13&lt;&gt;"Relet"),$E$21,0)</f>
        <v>0</v>
      </c>
      <c r="BL21" s="9">
        <f>IF(AND('Rent Roll'!BZ13="Relet",'Rent Roll'!BY13&lt;&gt;"Relet"),$E$21,0)</f>
        <v>0</v>
      </c>
      <c r="BM21" s="9">
        <f>IF(AND('Rent Roll'!CA13="Relet",'Rent Roll'!BZ13&lt;&gt;"Relet"),$E$21,0)</f>
        <v>0</v>
      </c>
      <c r="BN21" s="9">
        <f>IF(AND('Rent Roll'!CB13="Relet",'Rent Roll'!CA13&lt;&gt;"Relet"),$E$21,0)</f>
        <v>0</v>
      </c>
      <c r="BO21" s="9">
        <f>IF(AND('Rent Roll'!CC13="Relet",'Rent Roll'!CB13&lt;&gt;"Relet"),$E$21,0)</f>
        <v>0</v>
      </c>
    </row>
    <row r="22" spans="1:67" x14ac:dyDescent="0.25">
      <c r="A22" s="7" t="str">
        <f>'Rent Roll'!A16</f>
        <v>4949 F</v>
      </c>
      <c r="B22" s="7" t="str">
        <f>'Rent Roll'!B16</f>
        <v>Waiel Merza</v>
      </c>
      <c r="C22" s="140">
        <f>'Rent Roll'!C16</f>
        <v>810</v>
      </c>
      <c r="D22" s="14"/>
      <c r="E22" s="8">
        <f>('Rent Roll'!N16*'Rent Roll'!Q16+(1-'Rent Roll'!N16)*'Rent Roll'!P16)*'Rent Roll'!C16</f>
        <v>8100</v>
      </c>
      <c r="F22" s="14"/>
      <c r="G22" s="14"/>
      <c r="H22" s="9">
        <f>IF('Rent Roll'!V16="Relet",$E$22,0)</f>
        <v>0</v>
      </c>
      <c r="I22" s="9">
        <f>IF(AND('Rent Roll'!W16="Relet",'Rent Roll'!V16&lt;&gt;"Relet"),$E$22,0)</f>
        <v>0</v>
      </c>
      <c r="J22" s="9">
        <f>IF(AND('Rent Roll'!X16="Relet",'Rent Roll'!W16&lt;&gt;"Relet"),$E$22,0)</f>
        <v>0</v>
      </c>
      <c r="K22" s="9">
        <f>IF(AND('Rent Roll'!Y16="Relet",'Rent Roll'!X16&lt;&gt;"Relet"),$E$22,0)</f>
        <v>0</v>
      </c>
      <c r="L22" s="9">
        <f>IF(AND('Rent Roll'!Z16="Relet",'Rent Roll'!Y16&lt;&gt;"Relet"),$E$22,0)</f>
        <v>0</v>
      </c>
      <c r="M22" s="9">
        <f>IF(AND('Rent Roll'!AA16="Relet",'Rent Roll'!Z16&lt;&gt;"Relet"),$E$22,0)</f>
        <v>0</v>
      </c>
      <c r="N22" s="9">
        <f>IF(AND('Rent Roll'!AB16="Relet",'Rent Roll'!AA16&lt;&gt;"Relet"),$E$22,0)</f>
        <v>0</v>
      </c>
      <c r="O22" s="9">
        <f>IF(AND('Rent Roll'!AC16="Relet",'Rent Roll'!AB16&lt;&gt;"Relet"),$E$22,0)</f>
        <v>0</v>
      </c>
      <c r="P22" s="9">
        <f>IF(AND('Rent Roll'!AD16="Relet",'Rent Roll'!AC16&lt;&gt;"Relet"),$E$22,0)</f>
        <v>0</v>
      </c>
      <c r="Q22" s="9">
        <f>IF(AND('Rent Roll'!AE16="Relet",'Rent Roll'!AD16&lt;&gt;"Relet"),$E$22,0)</f>
        <v>0</v>
      </c>
      <c r="R22" s="9">
        <f>IF(AND('Rent Roll'!AF16="Relet",'Rent Roll'!AE16&lt;&gt;"Relet"),$E$22,0)</f>
        <v>0</v>
      </c>
      <c r="S22" s="9">
        <f>IF(AND('Rent Roll'!AG16="Relet",'Rent Roll'!AF16&lt;&gt;"Relet"),$E$22,0)</f>
        <v>0</v>
      </c>
      <c r="T22" s="9">
        <f>IF(AND('Rent Roll'!AH16="Relet",'Rent Roll'!AG16&lt;&gt;"Relet"),$E$22,0)</f>
        <v>0</v>
      </c>
      <c r="U22" s="9">
        <f>IF(AND('Rent Roll'!AI16="Relet",'Rent Roll'!AH16&lt;&gt;"Relet"),$E$22,0)</f>
        <v>0</v>
      </c>
      <c r="V22" s="9">
        <f>IF(AND('Rent Roll'!AJ16="Relet",'Rent Roll'!AI16&lt;&gt;"Relet"),$E$22,0)</f>
        <v>0</v>
      </c>
      <c r="W22" s="9">
        <f>IF(AND('Rent Roll'!AK16="Relet",'Rent Roll'!AJ16&lt;&gt;"Relet"),$E$22,0)</f>
        <v>0</v>
      </c>
      <c r="X22" s="9">
        <f>IF(AND('Rent Roll'!AL16="Relet",'Rent Roll'!AK16&lt;&gt;"Relet"),$E$22,0)</f>
        <v>0</v>
      </c>
      <c r="Y22" s="9">
        <f>IF(AND('Rent Roll'!AM16="Relet",'Rent Roll'!AL16&lt;&gt;"Relet"),$E$22,0)</f>
        <v>0</v>
      </c>
      <c r="Z22" s="9">
        <f>IF(AND('Rent Roll'!AN16="Relet",'Rent Roll'!AM16&lt;&gt;"Relet"),$E$22,0)</f>
        <v>0</v>
      </c>
      <c r="AA22" s="9">
        <f>IF(AND('Rent Roll'!AO16="Relet",'Rent Roll'!AN16&lt;&gt;"Relet"),$E$22,0)</f>
        <v>0</v>
      </c>
      <c r="AB22" s="9">
        <f>IF(AND('Rent Roll'!AP16="Relet",'Rent Roll'!AO16&lt;&gt;"Relet"),$E$22,0)</f>
        <v>0</v>
      </c>
      <c r="AC22" s="9">
        <f>IF(AND('Rent Roll'!AQ16="Relet",'Rent Roll'!AP16&lt;&gt;"Relet"),$E$22,0)</f>
        <v>0</v>
      </c>
      <c r="AD22" s="9">
        <f>IF(AND('Rent Roll'!AR16="Relet",'Rent Roll'!AQ16&lt;&gt;"Relet"),$E$22,0)</f>
        <v>0</v>
      </c>
      <c r="AE22" s="9">
        <f>IF(AND('Rent Roll'!AS16="Relet",'Rent Roll'!AR16&lt;&gt;"Relet"),$E$22,0)</f>
        <v>0</v>
      </c>
      <c r="AF22" s="9">
        <f>IF(AND('Rent Roll'!AT16="Relet",'Rent Roll'!AS16&lt;&gt;"Relet"),$E$22,0)</f>
        <v>0</v>
      </c>
      <c r="AG22" s="9">
        <f>IF(AND('Rent Roll'!AU16="Relet",'Rent Roll'!AT16&lt;&gt;"Relet"),$E$22,0)</f>
        <v>0</v>
      </c>
      <c r="AH22" s="9">
        <f>IF(AND('Rent Roll'!AV16="Relet",'Rent Roll'!AU16&lt;&gt;"Relet"),$E$22,0)</f>
        <v>0</v>
      </c>
      <c r="AI22" s="9">
        <f>IF(AND('Rent Roll'!AW16="Relet",'Rent Roll'!AV16&lt;&gt;"Relet"),$E$22,0)</f>
        <v>0</v>
      </c>
      <c r="AJ22" s="9">
        <f>IF(AND('Rent Roll'!AX16="Relet",'Rent Roll'!AW16&lt;&gt;"Relet"),$E$22,0)</f>
        <v>0</v>
      </c>
      <c r="AK22" s="9">
        <f>IF(AND('Rent Roll'!AY16="Relet",'Rent Roll'!AX16&lt;&gt;"Relet"),$E$22,0)</f>
        <v>0</v>
      </c>
      <c r="AL22" s="9">
        <f>IF(AND('Rent Roll'!AZ16="Relet",'Rent Roll'!AY16&lt;&gt;"Relet"),$E$22,0)</f>
        <v>0</v>
      </c>
      <c r="AM22" s="9">
        <f>IF(AND('Rent Roll'!BA16="Relet",'Rent Roll'!AZ16&lt;&gt;"Relet"),$E$22,0)</f>
        <v>0</v>
      </c>
      <c r="AN22" s="9">
        <f>IF(AND('Rent Roll'!BB16="Relet",'Rent Roll'!BA16&lt;&gt;"Relet"),$E$22,0)</f>
        <v>0</v>
      </c>
      <c r="AO22" s="9">
        <f>IF(AND('Rent Roll'!BC16="Relet",'Rent Roll'!BB16&lt;&gt;"Relet"),$E$22,0)</f>
        <v>0</v>
      </c>
      <c r="AP22" s="9">
        <f>IF(AND('Rent Roll'!BD16="Relet",'Rent Roll'!BC16&lt;&gt;"Relet"),$E$22,0)</f>
        <v>0</v>
      </c>
      <c r="AQ22" s="9">
        <f>IF(AND('Rent Roll'!BE16="Relet",'Rent Roll'!BD16&lt;&gt;"Relet"),$E$22,0)</f>
        <v>0</v>
      </c>
      <c r="AR22" s="9">
        <f>IF(AND('Rent Roll'!BF16="Relet",'Rent Roll'!BE16&lt;&gt;"Relet"),$E$22,0)</f>
        <v>0</v>
      </c>
      <c r="AS22" s="9">
        <f>IF(AND('Rent Roll'!BG16="Relet",'Rent Roll'!BF16&lt;&gt;"Relet"),$E$22,0)</f>
        <v>0</v>
      </c>
      <c r="AT22" s="9">
        <f>IF(AND('Rent Roll'!BH16="Relet",'Rent Roll'!BG16&lt;&gt;"Relet"),$E$22,0)</f>
        <v>0</v>
      </c>
      <c r="AU22" s="9">
        <f>IF(AND('Rent Roll'!BI16="Relet",'Rent Roll'!BH16&lt;&gt;"Relet"),$E$22,0)</f>
        <v>0</v>
      </c>
      <c r="AV22" s="9">
        <f>IF(AND('Rent Roll'!BJ16="Relet",'Rent Roll'!BI16&lt;&gt;"Relet"),$E$22,0)</f>
        <v>0</v>
      </c>
      <c r="AW22" s="9">
        <f>IF(AND('Rent Roll'!BK16="Relet",'Rent Roll'!BJ16&lt;&gt;"Relet"),$E$22,0)</f>
        <v>8100</v>
      </c>
      <c r="AX22" s="9">
        <f>IF(AND('Rent Roll'!BL16="Relet",'Rent Roll'!BK16&lt;&gt;"Relet"),$E$22,0)</f>
        <v>0</v>
      </c>
      <c r="AY22" s="9">
        <f>IF(AND('Rent Roll'!BM16="Relet",'Rent Roll'!BL16&lt;&gt;"Relet"),$E$22,0)</f>
        <v>0</v>
      </c>
      <c r="AZ22" s="9">
        <f>IF(AND('Rent Roll'!BN16="Relet",'Rent Roll'!BM16&lt;&gt;"Relet"),$E$22,0)</f>
        <v>0</v>
      </c>
      <c r="BA22" s="9">
        <f>IF(AND('Rent Roll'!BO16="Relet",'Rent Roll'!BN16&lt;&gt;"Relet"),$E$22,0)</f>
        <v>0</v>
      </c>
      <c r="BB22" s="9">
        <f>IF(AND('Rent Roll'!BP16="Relet",'Rent Roll'!BO16&lt;&gt;"Relet"),$E$22,0)</f>
        <v>0</v>
      </c>
      <c r="BC22" s="9">
        <f>IF(AND('Rent Roll'!BQ16="Relet",'Rent Roll'!BP16&lt;&gt;"Relet"),$E$22,0)</f>
        <v>0</v>
      </c>
      <c r="BD22" s="9">
        <f>IF(AND('Rent Roll'!BR16="Relet",'Rent Roll'!BQ16&lt;&gt;"Relet"),$E$22,0)</f>
        <v>0</v>
      </c>
      <c r="BE22" s="9">
        <f>IF(AND('Rent Roll'!BS16="Relet",'Rent Roll'!BR16&lt;&gt;"Relet"),$E$22,0)</f>
        <v>0</v>
      </c>
      <c r="BF22" s="9">
        <f>IF(AND('Rent Roll'!BT16="Relet",'Rent Roll'!BS16&lt;&gt;"Relet"),$E$22,0)</f>
        <v>0</v>
      </c>
      <c r="BG22" s="9">
        <f>IF(AND('Rent Roll'!BU16="Relet",'Rent Roll'!BT16&lt;&gt;"Relet"),$E$22,0)</f>
        <v>0</v>
      </c>
      <c r="BH22" s="9">
        <f>IF(AND('Rent Roll'!BV16="Relet",'Rent Roll'!BU16&lt;&gt;"Relet"),$E$22,0)</f>
        <v>0</v>
      </c>
      <c r="BI22" s="9">
        <f>IF(AND('Rent Roll'!BW16="Relet",'Rent Roll'!BV16&lt;&gt;"Relet"),$E$22,0)</f>
        <v>0</v>
      </c>
      <c r="BJ22" s="9">
        <f>IF(AND('Rent Roll'!BX16="Relet",'Rent Roll'!BW16&lt;&gt;"Relet"),$E$22,0)</f>
        <v>0</v>
      </c>
      <c r="BK22" s="9">
        <f>IF(AND('Rent Roll'!BY16="Relet",'Rent Roll'!BX16&lt;&gt;"Relet"),$E$22,0)</f>
        <v>0</v>
      </c>
      <c r="BL22" s="9">
        <f>IF(AND('Rent Roll'!BZ16="Relet",'Rent Roll'!BY16&lt;&gt;"Relet"),$E$22,0)</f>
        <v>0</v>
      </c>
      <c r="BM22" s="9">
        <f>IF(AND('Rent Roll'!CA16="Relet",'Rent Roll'!BZ16&lt;&gt;"Relet"),$E$22,0)</f>
        <v>0</v>
      </c>
      <c r="BN22" s="9">
        <f>IF(AND('Rent Roll'!CB16="Relet",'Rent Roll'!CA16&lt;&gt;"Relet"),$E$22,0)</f>
        <v>0</v>
      </c>
      <c r="BO22" s="9">
        <f>IF(AND('Rent Roll'!CC16="Relet",'Rent Roll'!CB16&lt;&gt;"Relet"),$E$22,0)</f>
        <v>0</v>
      </c>
    </row>
    <row r="23" spans="1:67" x14ac:dyDescent="0.25">
      <c r="A23" s="7" t="str">
        <f>'Rent Roll'!A19</f>
        <v>4949 G</v>
      </c>
      <c r="B23" s="7" t="str">
        <f>'Rent Roll'!B19</f>
        <v>Cigarettes &amp; Gifts</v>
      </c>
      <c r="C23" s="140">
        <f>'Rent Roll'!C19</f>
        <v>810</v>
      </c>
      <c r="D23" s="14"/>
      <c r="E23" s="8">
        <f>('Rent Roll'!N19*'Rent Roll'!Q19+(1-'Rent Roll'!N19)*'Rent Roll'!P19)*'Rent Roll'!C19</f>
        <v>8100</v>
      </c>
      <c r="F23" s="14"/>
      <c r="G23" s="14"/>
      <c r="H23" s="9">
        <f>IF('Rent Roll'!V19="Relet",$E$23,0)</f>
        <v>0</v>
      </c>
      <c r="I23" s="9">
        <f>IF(AND('Rent Roll'!W19="Relet",'Rent Roll'!V19&lt;&gt;"Relet"),$E$23,0)</f>
        <v>0</v>
      </c>
      <c r="J23" s="9">
        <f>IF(AND('Rent Roll'!X19="Relet",'Rent Roll'!W19&lt;&gt;"Relet"),$E$23,0)</f>
        <v>0</v>
      </c>
      <c r="K23" s="9">
        <f>IF(AND('Rent Roll'!Y19="Relet",'Rent Roll'!X19&lt;&gt;"Relet"),$E$23,0)</f>
        <v>0</v>
      </c>
      <c r="L23" s="9">
        <f>IF(AND('Rent Roll'!Z19="Relet",'Rent Roll'!Y19&lt;&gt;"Relet"),$E$23,0)</f>
        <v>0</v>
      </c>
      <c r="M23" s="9">
        <f>IF(AND('Rent Roll'!AA19="Relet",'Rent Roll'!Z19&lt;&gt;"Relet"),$E$23,0)</f>
        <v>0</v>
      </c>
      <c r="N23" s="9">
        <f>IF(AND('Rent Roll'!AB19="Relet",'Rent Roll'!AA19&lt;&gt;"Relet"),$E$23,0)</f>
        <v>8100</v>
      </c>
      <c r="O23" s="9">
        <f>IF(AND('Rent Roll'!AC19="Relet",'Rent Roll'!AB19&lt;&gt;"Relet"),$E$23,0)</f>
        <v>0</v>
      </c>
      <c r="P23" s="9">
        <f>IF(AND('Rent Roll'!AD19="Relet",'Rent Roll'!AC19&lt;&gt;"Relet"),$E$23,0)</f>
        <v>0</v>
      </c>
      <c r="Q23" s="9">
        <f>IF(AND('Rent Roll'!AE19="Relet",'Rent Roll'!AD19&lt;&gt;"Relet"),$E$23,0)</f>
        <v>0</v>
      </c>
      <c r="R23" s="9">
        <f>IF(AND('Rent Roll'!AF19="Relet",'Rent Roll'!AE19&lt;&gt;"Relet"),$E$23,0)</f>
        <v>0</v>
      </c>
      <c r="S23" s="9">
        <f>IF(AND('Rent Roll'!AG19="Relet",'Rent Roll'!AF19&lt;&gt;"Relet"),$E$23,0)</f>
        <v>0</v>
      </c>
      <c r="T23" s="9">
        <f>IF(AND('Rent Roll'!AH19="Relet",'Rent Roll'!AG19&lt;&gt;"Relet"),$E$23,0)</f>
        <v>0</v>
      </c>
      <c r="U23" s="9">
        <f>IF(AND('Rent Roll'!AI19="Relet",'Rent Roll'!AH19&lt;&gt;"Relet"),$E$23,0)</f>
        <v>0</v>
      </c>
      <c r="V23" s="9">
        <f>IF(AND('Rent Roll'!AJ19="Relet",'Rent Roll'!AI19&lt;&gt;"Relet"),$E$23,0)</f>
        <v>0</v>
      </c>
      <c r="W23" s="9">
        <f>IF(AND('Rent Roll'!AK19="Relet",'Rent Roll'!AJ19&lt;&gt;"Relet"),$E$23,0)</f>
        <v>0</v>
      </c>
      <c r="X23" s="9">
        <f>IF(AND('Rent Roll'!AL19="Relet",'Rent Roll'!AK19&lt;&gt;"Relet"),$E$23,0)</f>
        <v>0</v>
      </c>
      <c r="Y23" s="9">
        <f>IF(AND('Rent Roll'!AM19="Relet",'Rent Roll'!AL19&lt;&gt;"Relet"),$E$23,0)</f>
        <v>0</v>
      </c>
      <c r="Z23" s="9">
        <f>IF(AND('Rent Roll'!AN19="Relet",'Rent Roll'!AM19&lt;&gt;"Relet"),$E$23,0)</f>
        <v>0</v>
      </c>
      <c r="AA23" s="9">
        <f>IF(AND('Rent Roll'!AO19="Relet",'Rent Roll'!AN19&lt;&gt;"Relet"),$E$23,0)</f>
        <v>0</v>
      </c>
      <c r="AB23" s="9">
        <f>IF(AND('Rent Roll'!AP19="Relet",'Rent Roll'!AO19&lt;&gt;"Relet"),$E$23,0)</f>
        <v>0</v>
      </c>
      <c r="AC23" s="9">
        <f>IF(AND('Rent Roll'!AQ19="Relet",'Rent Roll'!AP19&lt;&gt;"Relet"),$E$23,0)</f>
        <v>0</v>
      </c>
      <c r="AD23" s="9">
        <f>IF(AND('Rent Roll'!AR19="Relet",'Rent Roll'!AQ19&lt;&gt;"Relet"),$E$23,0)</f>
        <v>0</v>
      </c>
      <c r="AE23" s="9">
        <f>IF(AND('Rent Roll'!AS19="Relet",'Rent Roll'!AR19&lt;&gt;"Relet"),$E$23,0)</f>
        <v>0</v>
      </c>
      <c r="AF23" s="9">
        <f>IF(AND('Rent Roll'!AT19="Relet",'Rent Roll'!AS19&lt;&gt;"Relet"),$E$23,0)</f>
        <v>0</v>
      </c>
      <c r="AG23" s="9">
        <f>IF(AND('Rent Roll'!AU19="Relet",'Rent Roll'!AT19&lt;&gt;"Relet"),$E$23,0)</f>
        <v>0</v>
      </c>
      <c r="AH23" s="9">
        <f>IF(AND('Rent Roll'!AV19="Relet",'Rent Roll'!AU19&lt;&gt;"Relet"),$E$23,0)</f>
        <v>0</v>
      </c>
      <c r="AI23" s="9">
        <f>IF(AND('Rent Roll'!AW19="Relet",'Rent Roll'!AV19&lt;&gt;"Relet"),$E$23,0)</f>
        <v>0</v>
      </c>
      <c r="AJ23" s="9">
        <f>IF(AND('Rent Roll'!AX19="Relet",'Rent Roll'!AW19&lt;&gt;"Relet"),$E$23,0)</f>
        <v>0</v>
      </c>
      <c r="AK23" s="9">
        <f>IF(AND('Rent Roll'!AY19="Relet",'Rent Roll'!AX19&lt;&gt;"Relet"),$E$23,0)</f>
        <v>0</v>
      </c>
      <c r="AL23" s="9">
        <f>IF(AND('Rent Roll'!AZ19="Relet",'Rent Roll'!AY19&lt;&gt;"Relet"),$E$23,0)</f>
        <v>0</v>
      </c>
      <c r="AM23" s="9">
        <f>IF(AND('Rent Roll'!BA19="Relet",'Rent Roll'!AZ19&lt;&gt;"Relet"),$E$23,0)</f>
        <v>0</v>
      </c>
      <c r="AN23" s="9">
        <f>IF(AND('Rent Roll'!BB19="Relet",'Rent Roll'!BA19&lt;&gt;"Relet"),$E$23,0)</f>
        <v>0</v>
      </c>
      <c r="AO23" s="9">
        <f>IF(AND('Rent Roll'!BC19="Relet",'Rent Roll'!BB19&lt;&gt;"Relet"),$E$23,0)</f>
        <v>0</v>
      </c>
      <c r="AP23" s="9">
        <f>IF(AND('Rent Roll'!BD19="Relet",'Rent Roll'!BC19&lt;&gt;"Relet"),$E$23,0)</f>
        <v>0</v>
      </c>
      <c r="AQ23" s="9">
        <f>IF(AND('Rent Roll'!BE19="Relet",'Rent Roll'!BD19&lt;&gt;"Relet"),$E$23,0)</f>
        <v>0</v>
      </c>
      <c r="AR23" s="9">
        <f>IF(AND('Rent Roll'!BF19="Relet",'Rent Roll'!BE19&lt;&gt;"Relet"),$E$23,0)</f>
        <v>0</v>
      </c>
      <c r="AS23" s="9">
        <f>IF(AND('Rent Roll'!BG19="Relet",'Rent Roll'!BF19&lt;&gt;"Relet"),$E$23,0)</f>
        <v>0</v>
      </c>
      <c r="AT23" s="9">
        <f>IF(AND('Rent Roll'!BH19="Relet",'Rent Roll'!BG19&lt;&gt;"Relet"),$E$23,0)</f>
        <v>0</v>
      </c>
      <c r="AU23" s="9">
        <f>IF(AND('Rent Roll'!BI19="Relet",'Rent Roll'!BH19&lt;&gt;"Relet"),$E$23,0)</f>
        <v>0</v>
      </c>
      <c r="AV23" s="9">
        <f>IF(AND('Rent Roll'!BJ19="Relet",'Rent Roll'!BI19&lt;&gt;"Relet"),$E$23,0)</f>
        <v>0</v>
      </c>
      <c r="AW23" s="9">
        <f>IF(AND('Rent Roll'!BK19="Relet",'Rent Roll'!BJ19&lt;&gt;"Relet"),$E$23,0)</f>
        <v>0</v>
      </c>
      <c r="AX23" s="9">
        <f>IF(AND('Rent Roll'!BL19="Relet",'Rent Roll'!BK19&lt;&gt;"Relet"),$E$23,0)</f>
        <v>0</v>
      </c>
      <c r="AY23" s="9">
        <f>IF(AND('Rent Roll'!BM19="Relet",'Rent Roll'!BL19&lt;&gt;"Relet"),$E$23,0)</f>
        <v>0</v>
      </c>
      <c r="AZ23" s="9">
        <f>IF(AND('Rent Roll'!BN19="Relet",'Rent Roll'!BM19&lt;&gt;"Relet"),$E$23,0)</f>
        <v>0</v>
      </c>
      <c r="BA23" s="9">
        <f>IF(AND('Rent Roll'!BO19="Relet",'Rent Roll'!BN19&lt;&gt;"Relet"),$E$23,0)</f>
        <v>0</v>
      </c>
      <c r="BB23" s="9">
        <f>IF(AND('Rent Roll'!BP19="Relet",'Rent Roll'!BO19&lt;&gt;"Relet"),$E$23,0)</f>
        <v>0</v>
      </c>
      <c r="BC23" s="9">
        <f>IF(AND('Rent Roll'!BQ19="Relet",'Rent Roll'!BP19&lt;&gt;"Relet"),$E$23,0)</f>
        <v>0</v>
      </c>
      <c r="BD23" s="9">
        <f>IF(AND('Rent Roll'!BR19="Relet",'Rent Roll'!BQ19&lt;&gt;"Relet"),$E$23,0)</f>
        <v>0</v>
      </c>
      <c r="BE23" s="9">
        <f>IF(AND('Rent Roll'!BS19="Relet",'Rent Roll'!BR19&lt;&gt;"Relet"),$E$23,0)</f>
        <v>0</v>
      </c>
      <c r="BF23" s="9">
        <f>IF(AND('Rent Roll'!BT19="Relet",'Rent Roll'!BS19&lt;&gt;"Relet"),$E$23,0)</f>
        <v>0</v>
      </c>
      <c r="BG23" s="9">
        <f>IF(AND('Rent Roll'!BU19="Relet",'Rent Roll'!BT19&lt;&gt;"Relet"),$E$23,0)</f>
        <v>0</v>
      </c>
      <c r="BH23" s="9">
        <f>IF(AND('Rent Roll'!BV19="Relet",'Rent Roll'!BU19&lt;&gt;"Relet"),$E$23,0)</f>
        <v>0</v>
      </c>
      <c r="BI23" s="9">
        <f>IF(AND('Rent Roll'!BW19="Relet",'Rent Roll'!BV19&lt;&gt;"Relet"),$E$23,0)</f>
        <v>0</v>
      </c>
      <c r="BJ23" s="9">
        <f>IF(AND('Rent Roll'!BX19="Relet",'Rent Roll'!BW19&lt;&gt;"Relet"),$E$23,0)</f>
        <v>0</v>
      </c>
      <c r="BK23" s="9">
        <f>IF(AND('Rent Roll'!BY19="Relet",'Rent Roll'!BX19&lt;&gt;"Relet"),$E$23,0)</f>
        <v>0</v>
      </c>
      <c r="BL23" s="9">
        <f>IF(AND('Rent Roll'!BZ19="Relet",'Rent Roll'!BY19&lt;&gt;"Relet"),$E$23,0)</f>
        <v>0</v>
      </c>
      <c r="BM23" s="9">
        <f>IF(AND('Rent Roll'!CA19="Relet",'Rent Roll'!BZ19&lt;&gt;"Relet"),$E$23,0)</f>
        <v>0</v>
      </c>
      <c r="BN23" s="9">
        <f>IF(AND('Rent Roll'!CB19="Relet",'Rent Roll'!CA19&lt;&gt;"Relet"),$E$23,0)</f>
        <v>0</v>
      </c>
      <c r="BO23" s="9">
        <f>IF(AND('Rent Roll'!CC19="Relet",'Rent Roll'!CB19&lt;&gt;"Relet"),$E$23,0)</f>
        <v>0</v>
      </c>
    </row>
    <row r="24" spans="1:67" x14ac:dyDescent="0.25">
      <c r="A24" s="7" t="str">
        <f>'Rent Roll'!A22</f>
        <v>4949 H</v>
      </c>
      <c r="B24" s="7" t="str">
        <f>'Rent Roll'!B22</f>
        <v>Brittany Hair &amp; Nails</v>
      </c>
      <c r="C24" s="140">
        <f>'Rent Roll'!C22</f>
        <v>810</v>
      </c>
      <c r="D24" s="14"/>
      <c r="E24" s="8">
        <f>('Rent Roll'!N22*'Rent Roll'!Q22+(1-'Rent Roll'!N22)*'Rent Roll'!P22)*'Rent Roll'!C22</f>
        <v>8100</v>
      </c>
      <c r="F24" s="14"/>
      <c r="G24" s="14"/>
      <c r="H24" s="9">
        <f>IF('Rent Roll'!V22="Relet",$E$24,0)</f>
        <v>0</v>
      </c>
      <c r="I24" s="9">
        <f>IF(AND('Rent Roll'!W22="Relet",'Rent Roll'!V22&lt;&gt;"Relet"),$E$24,0)</f>
        <v>0</v>
      </c>
      <c r="J24" s="9">
        <f>IF(AND('Rent Roll'!X22="Relet",'Rent Roll'!W22&lt;&gt;"Relet"),$E$24,0)</f>
        <v>0</v>
      </c>
      <c r="K24" s="9">
        <f>IF(AND('Rent Roll'!Y22="Relet",'Rent Roll'!X22&lt;&gt;"Relet"),$E$24,0)</f>
        <v>0</v>
      </c>
      <c r="L24" s="9">
        <f>IF(AND('Rent Roll'!Z22="Relet",'Rent Roll'!Y22&lt;&gt;"Relet"),$E$24,0)</f>
        <v>0</v>
      </c>
      <c r="M24" s="9">
        <f>IF(AND('Rent Roll'!AA22="Relet",'Rent Roll'!Z22&lt;&gt;"Relet"),$E$24,0)</f>
        <v>0</v>
      </c>
      <c r="N24" s="9">
        <f>IF(AND('Rent Roll'!AB22="Relet",'Rent Roll'!AA22&lt;&gt;"Relet"),$E$24,0)</f>
        <v>8100</v>
      </c>
      <c r="O24" s="9">
        <f>IF(AND('Rent Roll'!AC22="Relet",'Rent Roll'!AB22&lt;&gt;"Relet"),$E$24,0)</f>
        <v>0</v>
      </c>
      <c r="P24" s="9">
        <f>IF(AND('Rent Roll'!AD22="Relet",'Rent Roll'!AC22&lt;&gt;"Relet"),$E$24,0)</f>
        <v>0</v>
      </c>
      <c r="Q24" s="9">
        <f>IF(AND('Rent Roll'!AE22="Relet",'Rent Roll'!AD22&lt;&gt;"Relet"),$E$24,0)</f>
        <v>0</v>
      </c>
      <c r="R24" s="9">
        <f>IF(AND('Rent Roll'!AF22="Relet",'Rent Roll'!AE22&lt;&gt;"Relet"),$E$24,0)</f>
        <v>0</v>
      </c>
      <c r="S24" s="9">
        <f>IF(AND('Rent Roll'!AG22="Relet",'Rent Roll'!AF22&lt;&gt;"Relet"),$E$24,0)</f>
        <v>0</v>
      </c>
      <c r="T24" s="9">
        <f>IF(AND('Rent Roll'!AH22="Relet",'Rent Roll'!AG22&lt;&gt;"Relet"),$E$24,0)</f>
        <v>0</v>
      </c>
      <c r="U24" s="9">
        <f>IF(AND('Rent Roll'!AI22="Relet",'Rent Roll'!AH22&lt;&gt;"Relet"),$E$24,0)</f>
        <v>0</v>
      </c>
      <c r="V24" s="9">
        <f>IF(AND('Rent Roll'!AJ22="Relet",'Rent Roll'!AI22&lt;&gt;"Relet"),$E$24,0)</f>
        <v>0</v>
      </c>
      <c r="W24" s="9">
        <f>IF(AND('Rent Roll'!AK22="Relet",'Rent Roll'!AJ22&lt;&gt;"Relet"),$E$24,0)</f>
        <v>0</v>
      </c>
      <c r="X24" s="9">
        <f>IF(AND('Rent Roll'!AL22="Relet",'Rent Roll'!AK22&lt;&gt;"Relet"),$E$24,0)</f>
        <v>0</v>
      </c>
      <c r="Y24" s="9">
        <f>IF(AND('Rent Roll'!AM22="Relet",'Rent Roll'!AL22&lt;&gt;"Relet"),$E$24,0)</f>
        <v>0</v>
      </c>
      <c r="Z24" s="9">
        <f>IF(AND('Rent Roll'!AN22="Relet",'Rent Roll'!AM22&lt;&gt;"Relet"),$E$24,0)</f>
        <v>0</v>
      </c>
      <c r="AA24" s="9">
        <f>IF(AND('Rent Roll'!AO22="Relet",'Rent Roll'!AN22&lt;&gt;"Relet"),$E$24,0)</f>
        <v>0</v>
      </c>
      <c r="AB24" s="9">
        <f>IF(AND('Rent Roll'!AP22="Relet",'Rent Roll'!AO22&lt;&gt;"Relet"),$E$24,0)</f>
        <v>0</v>
      </c>
      <c r="AC24" s="9">
        <f>IF(AND('Rent Roll'!AQ22="Relet",'Rent Roll'!AP22&lt;&gt;"Relet"),$E$24,0)</f>
        <v>0</v>
      </c>
      <c r="AD24" s="9">
        <f>IF(AND('Rent Roll'!AR22="Relet",'Rent Roll'!AQ22&lt;&gt;"Relet"),$E$24,0)</f>
        <v>0</v>
      </c>
      <c r="AE24" s="9">
        <f>IF(AND('Rent Roll'!AS22="Relet",'Rent Roll'!AR22&lt;&gt;"Relet"),$E$24,0)</f>
        <v>0</v>
      </c>
      <c r="AF24" s="9">
        <f>IF(AND('Rent Roll'!AT22="Relet",'Rent Roll'!AS22&lt;&gt;"Relet"),$E$24,0)</f>
        <v>0</v>
      </c>
      <c r="AG24" s="9">
        <f>IF(AND('Rent Roll'!AU22="Relet",'Rent Roll'!AT22&lt;&gt;"Relet"),$E$24,0)</f>
        <v>0</v>
      </c>
      <c r="AH24" s="9">
        <f>IF(AND('Rent Roll'!AV22="Relet",'Rent Roll'!AU22&lt;&gt;"Relet"),$E$24,0)</f>
        <v>0</v>
      </c>
      <c r="AI24" s="9">
        <f>IF(AND('Rent Roll'!AW22="Relet",'Rent Roll'!AV22&lt;&gt;"Relet"),$E$24,0)</f>
        <v>0</v>
      </c>
      <c r="AJ24" s="9">
        <f>IF(AND('Rent Roll'!AX22="Relet",'Rent Roll'!AW22&lt;&gt;"Relet"),$E$24,0)</f>
        <v>0</v>
      </c>
      <c r="AK24" s="9">
        <f>IF(AND('Rent Roll'!AY22="Relet",'Rent Roll'!AX22&lt;&gt;"Relet"),$E$24,0)</f>
        <v>0</v>
      </c>
      <c r="AL24" s="9">
        <f>IF(AND('Rent Roll'!AZ22="Relet",'Rent Roll'!AY22&lt;&gt;"Relet"),$E$24,0)</f>
        <v>0</v>
      </c>
      <c r="AM24" s="9">
        <f>IF(AND('Rent Roll'!BA22="Relet",'Rent Roll'!AZ22&lt;&gt;"Relet"),$E$24,0)</f>
        <v>0</v>
      </c>
      <c r="AN24" s="9">
        <f>IF(AND('Rent Roll'!BB22="Relet",'Rent Roll'!BA22&lt;&gt;"Relet"),$E$24,0)</f>
        <v>0</v>
      </c>
      <c r="AO24" s="9">
        <f>IF(AND('Rent Roll'!BC22="Relet",'Rent Roll'!BB22&lt;&gt;"Relet"),$E$24,0)</f>
        <v>0</v>
      </c>
      <c r="AP24" s="9">
        <f>IF(AND('Rent Roll'!BD22="Relet",'Rent Roll'!BC22&lt;&gt;"Relet"),$E$24,0)</f>
        <v>0</v>
      </c>
      <c r="AQ24" s="9">
        <f>IF(AND('Rent Roll'!BE22="Relet",'Rent Roll'!BD22&lt;&gt;"Relet"),$E$24,0)</f>
        <v>0</v>
      </c>
      <c r="AR24" s="9">
        <f>IF(AND('Rent Roll'!BF22="Relet",'Rent Roll'!BE22&lt;&gt;"Relet"),$E$24,0)</f>
        <v>0</v>
      </c>
      <c r="AS24" s="9">
        <f>IF(AND('Rent Roll'!BG22="Relet",'Rent Roll'!BF22&lt;&gt;"Relet"),$E$24,0)</f>
        <v>0</v>
      </c>
      <c r="AT24" s="9">
        <f>IF(AND('Rent Roll'!BH22="Relet",'Rent Roll'!BG22&lt;&gt;"Relet"),$E$24,0)</f>
        <v>0</v>
      </c>
      <c r="AU24" s="9">
        <f>IF(AND('Rent Roll'!BI22="Relet",'Rent Roll'!BH22&lt;&gt;"Relet"),$E$24,0)</f>
        <v>0</v>
      </c>
      <c r="AV24" s="9">
        <f>IF(AND('Rent Roll'!BJ22="Relet",'Rent Roll'!BI22&lt;&gt;"Relet"),$E$24,0)</f>
        <v>0</v>
      </c>
      <c r="AW24" s="9">
        <f>IF(AND('Rent Roll'!BK22="Relet",'Rent Roll'!BJ22&lt;&gt;"Relet"),$E$24,0)</f>
        <v>0</v>
      </c>
      <c r="AX24" s="9">
        <f>IF(AND('Rent Roll'!BL22="Relet",'Rent Roll'!BK22&lt;&gt;"Relet"),$E$24,0)</f>
        <v>0</v>
      </c>
      <c r="AY24" s="9">
        <f>IF(AND('Rent Roll'!BM22="Relet",'Rent Roll'!BL22&lt;&gt;"Relet"),$E$24,0)</f>
        <v>0</v>
      </c>
      <c r="AZ24" s="9">
        <f>IF(AND('Rent Roll'!BN22="Relet",'Rent Roll'!BM22&lt;&gt;"Relet"),$E$24,0)</f>
        <v>0</v>
      </c>
      <c r="BA24" s="9">
        <f>IF(AND('Rent Roll'!BO22="Relet",'Rent Roll'!BN22&lt;&gt;"Relet"),$E$24,0)</f>
        <v>0</v>
      </c>
      <c r="BB24" s="9">
        <f>IF(AND('Rent Roll'!BP22="Relet",'Rent Roll'!BO22&lt;&gt;"Relet"),$E$24,0)</f>
        <v>0</v>
      </c>
      <c r="BC24" s="9">
        <f>IF(AND('Rent Roll'!BQ22="Relet",'Rent Roll'!BP22&lt;&gt;"Relet"),$E$24,0)</f>
        <v>0</v>
      </c>
      <c r="BD24" s="9">
        <f>IF(AND('Rent Roll'!BR22="Relet",'Rent Roll'!BQ22&lt;&gt;"Relet"),$E$24,0)</f>
        <v>0</v>
      </c>
      <c r="BE24" s="9">
        <f>IF(AND('Rent Roll'!BS22="Relet",'Rent Roll'!BR22&lt;&gt;"Relet"),$E$24,0)</f>
        <v>0</v>
      </c>
      <c r="BF24" s="9">
        <f>IF(AND('Rent Roll'!BT22="Relet",'Rent Roll'!BS22&lt;&gt;"Relet"),$E$24,0)</f>
        <v>0</v>
      </c>
      <c r="BG24" s="9">
        <f>IF(AND('Rent Roll'!BU22="Relet",'Rent Roll'!BT22&lt;&gt;"Relet"),$E$24,0)</f>
        <v>0</v>
      </c>
      <c r="BH24" s="9">
        <f>IF(AND('Rent Roll'!BV22="Relet",'Rent Roll'!BU22&lt;&gt;"Relet"),$E$24,0)</f>
        <v>0</v>
      </c>
      <c r="BI24" s="9">
        <f>IF(AND('Rent Roll'!BW22="Relet",'Rent Roll'!BV22&lt;&gt;"Relet"),$E$24,0)</f>
        <v>0</v>
      </c>
      <c r="BJ24" s="9">
        <f>IF(AND('Rent Roll'!BX22="Relet",'Rent Roll'!BW22&lt;&gt;"Relet"),$E$24,0)</f>
        <v>0</v>
      </c>
      <c r="BK24" s="9">
        <f>IF(AND('Rent Roll'!BY22="Relet",'Rent Roll'!BX22&lt;&gt;"Relet"),$E$24,0)</f>
        <v>0</v>
      </c>
      <c r="BL24" s="9">
        <f>IF(AND('Rent Roll'!BZ22="Relet",'Rent Roll'!BY22&lt;&gt;"Relet"),$E$24,0)</f>
        <v>0</v>
      </c>
      <c r="BM24" s="9">
        <f>IF(AND('Rent Roll'!CA22="Relet",'Rent Roll'!BZ22&lt;&gt;"Relet"),$E$24,0)</f>
        <v>0</v>
      </c>
      <c r="BN24" s="9">
        <f>IF(AND('Rent Roll'!CB22="Relet",'Rent Roll'!CA22&lt;&gt;"Relet"),$E$24,0)</f>
        <v>0</v>
      </c>
      <c r="BO24" s="9">
        <f>IF(AND('Rent Roll'!CC22="Relet",'Rent Roll'!CB22&lt;&gt;"Relet"),$E$24,0)</f>
        <v>0</v>
      </c>
    </row>
    <row r="25" spans="1:67" x14ac:dyDescent="0.25">
      <c r="A25" s="7" t="str">
        <f>'Rent Roll'!A25</f>
        <v>4949 I</v>
      </c>
      <c r="B25" s="7" t="str">
        <f>'Rent Roll'!B25</f>
        <v>Madeville Hair Salon</v>
      </c>
      <c r="C25" s="140">
        <f>'Rent Roll'!C25</f>
        <v>810</v>
      </c>
      <c r="D25" s="14"/>
      <c r="E25" s="8">
        <f>('Rent Roll'!N25*'Rent Roll'!Q25+(1-'Rent Roll'!N25)*'Rent Roll'!P25)*'Rent Roll'!C25</f>
        <v>12150</v>
      </c>
      <c r="F25" s="14"/>
      <c r="G25" s="14"/>
      <c r="H25" s="9">
        <f>IF('Rent Roll'!V25="Relet",$E$25,0)</f>
        <v>0</v>
      </c>
      <c r="I25" s="9">
        <f>IF(AND('Rent Roll'!W25="Relet",'Rent Roll'!V25&lt;&gt;"Relet"),$E$25,0)</f>
        <v>0</v>
      </c>
      <c r="J25" s="9">
        <f>IF(AND('Rent Roll'!X25="Relet",'Rent Roll'!W25&lt;&gt;"Relet"),$E$25,0)</f>
        <v>0</v>
      </c>
      <c r="K25" s="9">
        <f>IF(AND('Rent Roll'!Y25="Relet",'Rent Roll'!X25&lt;&gt;"Relet"),$E$25,0)</f>
        <v>0</v>
      </c>
      <c r="L25" s="9">
        <f>IF(AND('Rent Roll'!Z25="Relet",'Rent Roll'!Y25&lt;&gt;"Relet"),$E$25,0)</f>
        <v>0</v>
      </c>
      <c r="M25" s="9">
        <f>IF(AND('Rent Roll'!AA25="Relet",'Rent Roll'!Z25&lt;&gt;"Relet"),$E$25,0)</f>
        <v>0</v>
      </c>
      <c r="N25" s="9">
        <f>IF(AND('Rent Roll'!AB25="Relet",'Rent Roll'!AA25&lt;&gt;"Relet"),$E$25,0)</f>
        <v>12150</v>
      </c>
      <c r="O25" s="9">
        <f>IF(AND('Rent Roll'!AC25="Relet",'Rent Roll'!AB25&lt;&gt;"Relet"),$E$25,0)</f>
        <v>0</v>
      </c>
      <c r="P25" s="9">
        <f>IF(AND('Rent Roll'!AD25="Relet",'Rent Roll'!AC25&lt;&gt;"Relet"),$E$25,0)</f>
        <v>0</v>
      </c>
      <c r="Q25" s="9">
        <f>IF(AND('Rent Roll'!AE25="Relet",'Rent Roll'!AD25&lt;&gt;"Relet"),$E$25,0)</f>
        <v>0</v>
      </c>
      <c r="R25" s="9">
        <f>IF(AND('Rent Roll'!AF25="Relet",'Rent Roll'!AE25&lt;&gt;"Relet"),$E$25,0)</f>
        <v>0</v>
      </c>
      <c r="S25" s="9">
        <f>IF(AND('Rent Roll'!AG25="Relet",'Rent Roll'!AF25&lt;&gt;"Relet"),$E$25,0)</f>
        <v>0</v>
      </c>
      <c r="T25" s="9">
        <f>IF(AND('Rent Roll'!AH25="Relet",'Rent Roll'!AG25&lt;&gt;"Relet"),$E$25,0)</f>
        <v>0</v>
      </c>
      <c r="U25" s="9">
        <f>IF(AND('Rent Roll'!AI25="Relet",'Rent Roll'!AH25&lt;&gt;"Relet"),$E$25,0)</f>
        <v>0</v>
      </c>
      <c r="V25" s="9">
        <f>IF(AND('Rent Roll'!AJ25="Relet",'Rent Roll'!AI25&lt;&gt;"Relet"),$E$25,0)</f>
        <v>0</v>
      </c>
      <c r="W25" s="9">
        <f>IF(AND('Rent Roll'!AK25="Relet",'Rent Roll'!AJ25&lt;&gt;"Relet"),$E$25,0)</f>
        <v>0</v>
      </c>
      <c r="X25" s="9">
        <f>IF(AND('Rent Roll'!AL25="Relet",'Rent Roll'!AK25&lt;&gt;"Relet"),$E$25,0)</f>
        <v>0</v>
      </c>
      <c r="Y25" s="9">
        <f>IF(AND('Rent Roll'!AM25="Relet",'Rent Roll'!AL25&lt;&gt;"Relet"),$E$25,0)</f>
        <v>0</v>
      </c>
      <c r="Z25" s="9">
        <f>IF(AND('Rent Roll'!AN25="Relet",'Rent Roll'!AM25&lt;&gt;"Relet"),$E$25,0)</f>
        <v>0</v>
      </c>
      <c r="AA25" s="9">
        <f>IF(AND('Rent Roll'!AO25="Relet",'Rent Roll'!AN25&lt;&gt;"Relet"),$E$25,0)</f>
        <v>0</v>
      </c>
      <c r="AB25" s="9">
        <f>IF(AND('Rent Roll'!AP25="Relet",'Rent Roll'!AO25&lt;&gt;"Relet"),$E$25,0)</f>
        <v>0</v>
      </c>
      <c r="AC25" s="9">
        <f>IF(AND('Rent Roll'!AQ25="Relet",'Rent Roll'!AP25&lt;&gt;"Relet"),$E$25,0)</f>
        <v>0</v>
      </c>
      <c r="AD25" s="9">
        <f>IF(AND('Rent Roll'!AR25="Relet",'Rent Roll'!AQ25&lt;&gt;"Relet"),$E$25,0)</f>
        <v>0</v>
      </c>
      <c r="AE25" s="9">
        <f>IF(AND('Rent Roll'!AS25="Relet",'Rent Roll'!AR25&lt;&gt;"Relet"),$E$25,0)</f>
        <v>0</v>
      </c>
      <c r="AF25" s="9">
        <f>IF(AND('Rent Roll'!AT25="Relet",'Rent Roll'!AS25&lt;&gt;"Relet"),$E$25,0)</f>
        <v>0</v>
      </c>
      <c r="AG25" s="9">
        <f>IF(AND('Rent Roll'!AU25="Relet",'Rent Roll'!AT25&lt;&gt;"Relet"),$E$25,0)</f>
        <v>0</v>
      </c>
      <c r="AH25" s="9">
        <f>IF(AND('Rent Roll'!AV25="Relet",'Rent Roll'!AU25&lt;&gt;"Relet"),$E$25,0)</f>
        <v>0</v>
      </c>
      <c r="AI25" s="9">
        <f>IF(AND('Rent Roll'!AW25="Relet",'Rent Roll'!AV25&lt;&gt;"Relet"),$E$25,0)</f>
        <v>0</v>
      </c>
      <c r="AJ25" s="9">
        <f>IF(AND('Rent Roll'!AX25="Relet",'Rent Roll'!AW25&lt;&gt;"Relet"),$E$25,0)</f>
        <v>0</v>
      </c>
      <c r="AK25" s="9">
        <f>IF(AND('Rent Roll'!AY25="Relet",'Rent Roll'!AX25&lt;&gt;"Relet"),$E$25,0)</f>
        <v>0</v>
      </c>
      <c r="AL25" s="9">
        <f>IF(AND('Rent Roll'!AZ25="Relet",'Rent Roll'!AY25&lt;&gt;"Relet"),$E$25,0)</f>
        <v>0</v>
      </c>
      <c r="AM25" s="9">
        <f>IF(AND('Rent Roll'!BA25="Relet",'Rent Roll'!AZ25&lt;&gt;"Relet"),$E$25,0)</f>
        <v>0</v>
      </c>
      <c r="AN25" s="9">
        <f>IF(AND('Rent Roll'!BB25="Relet",'Rent Roll'!BA25&lt;&gt;"Relet"),$E$25,0)</f>
        <v>0</v>
      </c>
      <c r="AO25" s="9">
        <f>IF(AND('Rent Roll'!BC25="Relet",'Rent Roll'!BB25&lt;&gt;"Relet"),$E$25,0)</f>
        <v>0</v>
      </c>
      <c r="AP25" s="9">
        <f>IF(AND('Rent Roll'!BD25="Relet",'Rent Roll'!BC25&lt;&gt;"Relet"),$E$25,0)</f>
        <v>0</v>
      </c>
      <c r="AQ25" s="9">
        <f>IF(AND('Rent Roll'!BE25="Relet",'Rent Roll'!BD25&lt;&gt;"Relet"),$E$25,0)</f>
        <v>0</v>
      </c>
      <c r="AR25" s="9">
        <f>IF(AND('Rent Roll'!BF25="Relet",'Rent Roll'!BE25&lt;&gt;"Relet"),$E$25,0)</f>
        <v>0</v>
      </c>
      <c r="AS25" s="9">
        <f>IF(AND('Rent Roll'!BG25="Relet",'Rent Roll'!BF25&lt;&gt;"Relet"),$E$25,0)</f>
        <v>0</v>
      </c>
      <c r="AT25" s="9">
        <f>IF(AND('Rent Roll'!BH25="Relet",'Rent Roll'!BG25&lt;&gt;"Relet"),$E$25,0)</f>
        <v>0</v>
      </c>
      <c r="AU25" s="9">
        <f>IF(AND('Rent Roll'!BI25="Relet",'Rent Roll'!BH25&lt;&gt;"Relet"),$E$25,0)</f>
        <v>0</v>
      </c>
      <c r="AV25" s="9">
        <f>IF(AND('Rent Roll'!BJ25="Relet",'Rent Roll'!BI25&lt;&gt;"Relet"),$E$25,0)</f>
        <v>0</v>
      </c>
      <c r="AW25" s="9">
        <f>IF(AND('Rent Roll'!BK25="Relet",'Rent Roll'!BJ25&lt;&gt;"Relet"),$E$25,0)</f>
        <v>0</v>
      </c>
      <c r="AX25" s="9">
        <f>IF(AND('Rent Roll'!BL25="Relet",'Rent Roll'!BK25&lt;&gt;"Relet"),$E$25,0)</f>
        <v>0</v>
      </c>
      <c r="AY25" s="9">
        <f>IF(AND('Rent Roll'!BM25="Relet",'Rent Roll'!BL25&lt;&gt;"Relet"),$E$25,0)</f>
        <v>0</v>
      </c>
      <c r="AZ25" s="9">
        <f>IF(AND('Rent Roll'!BN25="Relet",'Rent Roll'!BM25&lt;&gt;"Relet"),$E$25,0)</f>
        <v>0</v>
      </c>
      <c r="BA25" s="9">
        <f>IF(AND('Rent Roll'!BO25="Relet",'Rent Roll'!BN25&lt;&gt;"Relet"),$E$25,0)</f>
        <v>0</v>
      </c>
      <c r="BB25" s="9">
        <f>IF(AND('Rent Roll'!BP25="Relet",'Rent Roll'!BO25&lt;&gt;"Relet"),$E$25,0)</f>
        <v>0</v>
      </c>
      <c r="BC25" s="9">
        <f>IF(AND('Rent Roll'!BQ25="Relet",'Rent Roll'!BP25&lt;&gt;"Relet"),$E$25,0)</f>
        <v>0</v>
      </c>
      <c r="BD25" s="9">
        <f>IF(AND('Rent Roll'!BR25="Relet",'Rent Roll'!BQ25&lt;&gt;"Relet"),$E$25,0)</f>
        <v>0</v>
      </c>
      <c r="BE25" s="9">
        <f>IF(AND('Rent Roll'!BS25="Relet",'Rent Roll'!BR25&lt;&gt;"Relet"),$E$25,0)</f>
        <v>0</v>
      </c>
      <c r="BF25" s="9">
        <f>IF(AND('Rent Roll'!BT25="Relet",'Rent Roll'!BS25&lt;&gt;"Relet"),$E$25,0)</f>
        <v>0</v>
      </c>
      <c r="BG25" s="9">
        <f>IF(AND('Rent Roll'!BU25="Relet",'Rent Roll'!BT25&lt;&gt;"Relet"),$E$25,0)</f>
        <v>0</v>
      </c>
      <c r="BH25" s="9">
        <f>IF(AND('Rent Roll'!BV25="Relet",'Rent Roll'!BU25&lt;&gt;"Relet"),$E$25,0)</f>
        <v>0</v>
      </c>
      <c r="BI25" s="9">
        <f>IF(AND('Rent Roll'!BW25="Relet",'Rent Roll'!BV25&lt;&gt;"Relet"),$E$25,0)</f>
        <v>0</v>
      </c>
      <c r="BJ25" s="9">
        <f>IF(AND('Rent Roll'!BX25="Relet",'Rent Roll'!BW25&lt;&gt;"Relet"),$E$25,0)</f>
        <v>0</v>
      </c>
      <c r="BK25" s="9">
        <f>IF(AND('Rent Roll'!BY25="Relet",'Rent Roll'!BX25&lt;&gt;"Relet"),$E$25,0)</f>
        <v>0</v>
      </c>
      <c r="BL25" s="9">
        <f>IF(AND('Rent Roll'!BZ25="Relet",'Rent Roll'!BY25&lt;&gt;"Relet"),$E$25,0)</f>
        <v>0</v>
      </c>
      <c r="BM25" s="9">
        <f>IF(AND('Rent Roll'!CA25="Relet",'Rent Roll'!BZ25&lt;&gt;"Relet"),$E$25,0)</f>
        <v>0</v>
      </c>
      <c r="BN25" s="9">
        <f>IF(AND('Rent Roll'!CB25="Relet",'Rent Roll'!CA25&lt;&gt;"Relet"),$E$25,0)</f>
        <v>0</v>
      </c>
      <c r="BO25" s="9">
        <f>IF(AND('Rent Roll'!CC25="Relet",'Rent Roll'!CB25&lt;&gt;"Relet"),$E$25,0)</f>
        <v>0</v>
      </c>
    </row>
    <row r="26" spans="1:67" x14ac:dyDescent="0.25">
      <c r="A26" s="7" t="str">
        <f>'Rent Roll'!A28</f>
        <v>4949 J</v>
      </c>
      <c r="B26" s="7" t="str">
        <f>'Rent Roll'!B28</f>
        <v>VACANT</v>
      </c>
      <c r="C26" s="140">
        <f>'Rent Roll'!C28</f>
        <v>1350</v>
      </c>
      <c r="D26" s="14"/>
      <c r="E26" s="8">
        <f>('Rent Roll'!N28*'Rent Roll'!Q28+(1-'Rent Roll'!N28)*'Rent Roll'!P28)*'Rent Roll'!C28</f>
        <v>33750</v>
      </c>
      <c r="F26" s="14"/>
      <c r="G26" s="14"/>
      <c r="H26" s="9">
        <f>IF('Rent Roll'!V28="Relet",$E$26,0)</f>
        <v>0</v>
      </c>
      <c r="I26" s="9">
        <f>IF(AND('Rent Roll'!W28="Relet",'Rent Roll'!V28&lt;&gt;"Relet"),$E$26,0)</f>
        <v>0</v>
      </c>
      <c r="J26" s="9">
        <f>IF(AND('Rent Roll'!X28="Relet",'Rent Roll'!W28&lt;&gt;"Relet"),$E$26,0)</f>
        <v>0</v>
      </c>
      <c r="K26" s="9">
        <f>IF(AND('Rent Roll'!Y28="Relet",'Rent Roll'!X28&lt;&gt;"Relet"),$E$26,0)</f>
        <v>0</v>
      </c>
      <c r="L26" s="9">
        <f>IF(AND('Rent Roll'!Z28="Relet",'Rent Roll'!Y28&lt;&gt;"Relet"),$E$26,0)</f>
        <v>0</v>
      </c>
      <c r="M26" s="9">
        <f>IF(AND('Rent Roll'!AA28="Relet",'Rent Roll'!Z28&lt;&gt;"Relet"),$E$26,0)</f>
        <v>33750</v>
      </c>
      <c r="N26" s="9">
        <f>IF(AND('Rent Roll'!AB28="Relet",'Rent Roll'!AA28&lt;&gt;"Relet"),$E$26,0)</f>
        <v>0</v>
      </c>
      <c r="O26" s="9">
        <f>IF(AND('Rent Roll'!AC28="Relet",'Rent Roll'!AB28&lt;&gt;"Relet"),$E$26,0)</f>
        <v>0</v>
      </c>
      <c r="P26" s="9">
        <f>IF(AND('Rent Roll'!AD28="Relet",'Rent Roll'!AC28&lt;&gt;"Relet"),$E$26,0)</f>
        <v>0</v>
      </c>
      <c r="Q26" s="9">
        <f>IF(AND('Rent Roll'!AE28="Relet",'Rent Roll'!AD28&lt;&gt;"Relet"),$E$26,0)</f>
        <v>0</v>
      </c>
      <c r="R26" s="9">
        <f>IF(AND('Rent Roll'!AF28="Relet",'Rent Roll'!AE28&lt;&gt;"Relet"),$E$26,0)</f>
        <v>0</v>
      </c>
      <c r="S26" s="9">
        <f>IF(AND('Rent Roll'!AG28="Relet",'Rent Roll'!AF28&lt;&gt;"Relet"),$E$26,0)</f>
        <v>0</v>
      </c>
      <c r="T26" s="9">
        <f>IF(AND('Rent Roll'!AH28="Relet",'Rent Roll'!AG28&lt;&gt;"Relet"),$E$26,0)</f>
        <v>0</v>
      </c>
      <c r="U26" s="9">
        <f>IF(AND('Rent Roll'!AI28="Relet",'Rent Roll'!AH28&lt;&gt;"Relet"),$E$26,0)</f>
        <v>0</v>
      </c>
      <c r="V26" s="9">
        <f>IF(AND('Rent Roll'!AJ28="Relet",'Rent Roll'!AI28&lt;&gt;"Relet"),$E$26,0)</f>
        <v>0</v>
      </c>
      <c r="W26" s="9">
        <f>IF(AND('Rent Roll'!AK28="Relet",'Rent Roll'!AJ28&lt;&gt;"Relet"),$E$26,0)</f>
        <v>0</v>
      </c>
      <c r="X26" s="9">
        <f>IF(AND('Rent Roll'!AL28="Relet",'Rent Roll'!AK28&lt;&gt;"Relet"),$E$26,0)</f>
        <v>0</v>
      </c>
      <c r="Y26" s="9">
        <f>IF(AND('Rent Roll'!AM28="Relet",'Rent Roll'!AL28&lt;&gt;"Relet"),$E$26,0)</f>
        <v>0</v>
      </c>
      <c r="Z26" s="9">
        <f>IF(AND('Rent Roll'!AN28="Relet",'Rent Roll'!AM28&lt;&gt;"Relet"),$E$26,0)</f>
        <v>0</v>
      </c>
      <c r="AA26" s="9">
        <f>IF(AND('Rent Roll'!AO28="Relet",'Rent Roll'!AN28&lt;&gt;"Relet"),$E$26,0)</f>
        <v>0</v>
      </c>
      <c r="AB26" s="9">
        <f>IF(AND('Rent Roll'!AP28="Relet",'Rent Roll'!AO28&lt;&gt;"Relet"),$E$26,0)</f>
        <v>0</v>
      </c>
      <c r="AC26" s="9">
        <f>IF(AND('Rent Roll'!AQ28="Relet",'Rent Roll'!AP28&lt;&gt;"Relet"),$E$26,0)</f>
        <v>0</v>
      </c>
      <c r="AD26" s="9">
        <f>IF(AND('Rent Roll'!AR28="Relet",'Rent Roll'!AQ28&lt;&gt;"Relet"),$E$26,0)</f>
        <v>0</v>
      </c>
      <c r="AE26" s="9">
        <f>IF(AND('Rent Roll'!AS28="Relet",'Rent Roll'!AR28&lt;&gt;"Relet"),$E$26,0)</f>
        <v>0</v>
      </c>
      <c r="AF26" s="9">
        <f>IF(AND('Rent Roll'!AT28="Relet",'Rent Roll'!AS28&lt;&gt;"Relet"),$E$26,0)</f>
        <v>0</v>
      </c>
      <c r="AG26" s="9">
        <f>IF(AND('Rent Roll'!AU28="Relet",'Rent Roll'!AT28&lt;&gt;"Relet"),$E$26,0)</f>
        <v>0</v>
      </c>
      <c r="AH26" s="9">
        <f>IF(AND('Rent Roll'!AV28="Relet",'Rent Roll'!AU28&lt;&gt;"Relet"),$E$26,0)</f>
        <v>0</v>
      </c>
      <c r="AI26" s="9">
        <f>IF(AND('Rent Roll'!AW28="Relet",'Rent Roll'!AV28&lt;&gt;"Relet"),$E$26,0)</f>
        <v>0</v>
      </c>
      <c r="AJ26" s="9">
        <f>IF(AND('Rent Roll'!AX28="Relet",'Rent Roll'!AW28&lt;&gt;"Relet"),$E$26,0)</f>
        <v>0</v>
      </c>
      <c r="AK26" s="9">
        <f>IF(AND('Rent Roll'!AY28="Relet",'Rent Roll'!AX28&lt;&gt;"Relet"),$E$26,0)</f>
        <v>0</v>
      </c>
      <c r="AL26" s="9">
        <f>IF(AND('Rent Roll'!AZ28="Relet",'Rent Roll'!AY28&lt;&gt;"Relet"),$E$26,0)</f>
        <v>0</v>
      </c>
      <c r="AM26" s="9">
        <f>IF(AND('Rent Roll'!BA28="Relet",'Rent Roll'!AZ28&lt;&gt;"Relet"),$E$26,0)</f>
        <v>0</v>
      </c>
      <c r="AN26" s="9">
        <f>IF(AND('Rent Roll'!BB28="Relet",'Rent Roll'!BA28&lt;&gt;"Relet"),$E$26,0)</f>
        <v>0</v>
      </c>
      <c r="AO26" s="9">
        <f>IF(AND('Rent Roll'!BC28="Relet",'Rent Roll'!BB28&lt;&gt;"Relet"),$E$26,0)</f>
        <v>0</v>
      </c>
      <c r="AP26" s="9">
        <f>IF(AND('Rent Roll'!BD28="Relet",'Rent Roll'!BC28&lt;&gt;"Relet"),$E$26,0)</f>
        <v>0</v>
      </c>
      <c r="AQ26" s="9">
        <f>IF(AND('Rent Roll'!BE28="Relet",'Rent Roll'!BD28&lt;&gt;"Relet"),$E$26,0)</f>
        <v>0</v>
      </c>
      <c r="AR26" s="9">
        <f>IF(AND('Rent Roll'!BF28="Relet",'Rent Roll'!BE28&lt;&gt;"Relet"),$E$26,0)</f>
        <v>0</v>
      </c>
      <c r="AS26" s="9">
        <f>IF(AND('Rent Roll'!BG28="Relet",'Rent Roll'!BF28&lt;&gt;"Relet"),$E$26,0)</f>
        <v>0</v>
      </c>
      <c r="AT26" s="9">
        <f>IF(AND('Rent Roll'!BH28="Relet",'Rent Roll'!BG28&lt;&gt;"Relet"),$E$26,0)</f>
        <v>0</v>
      </c>
      <c r="AU26" s="9">
        <f>IF(AND('Rent Roll'!BI28="Relet",'Rent Roll'!BH28&lt;&gt;"Relet"),$E$26,0)</f>
        <v>0</v>
      </c>
      <c r="AV26" s="9">
        <f>IF(AND('Rent Roll'!BJ28="Relet",'Rent Roll'!BI28&lt;&gt;"Relet"),$E$26,0)</f>
        <v>0</v>
      </c>
      <c r="AW26" s="9">
        <f>IF(AND('Rent Roll'!BK28="Relet",'Rent Roll'!BJ28&lt;&gt;"Relet"),$E$26,0)</f>
        <v>0</v>
      </c>
      <c r="AX26" s="9">
        <f>IF(AND('Rent Roll'!BL28="Relet",'Rent Roll'!BK28&lt;&gt;"Relet"),$E$26,0)</f>
        <v>0</v>
      </c>
      <c r="AY26" s="9">
        <f>IF(AND('Rent Roll'!BM28="Relet",'Rent Roll'!BL28&lt;&gt;"Relet"),$E$26,0)</f>
        <v>0</v>
      </c>
      <c r="AZ26" s="9">
        <f>IF(AND('Rent Roll'!BN28="Relet",'Rent Roll'!BM28&lt;&gt;"Relet"),$E$26,0)</f>
        <v>0</v>
      </c>
      <c r="BA26" s="9">
        <f>IF(AND('Rent Roll'!BO28="Relet",'Rent Roll'!BN28&lt;&gt;"Relet"),$E$26,0)</f>
        <v>0</v>
      </c>
      <c r="BB26" s="9">
        <f>IF(AND('Rent Roll'!BP28="Relet",'Rent Roll'!BO28&lt;&gt;"Relet"),$E$26,0)</f>
        <v>0</v>
      </c>
      <c r="BC26" s="9">
        <f>IF(AND('Rent Roll'!BQ28="Relet",'Rent Roll'!BP28&lt;&gt;"Relet"),$E$26,0)</f>
        <v>0</v>
      </c>
      <c r="BD26" s="9">
        <f>IF(AND('Rent Roll'!BR28="Relet",'Rent Roll'!BQ28&lt;&gt;"Relet"),$E$26,0)</f>
        <v>0</v>
      </c>
      <c r="BE26" s="9">
        <f>IF(AND('Rent Roll'!BS28="Relet",'Rent Roll'!BR28&lt;&gt;"Relet"),$E$26,0)</f>
        <v>0</v>
      </c>
      <c r="BF26" s="9">
        <f>IF(AND('Rent Roll'!BT28="Relet",'Rent Roll'!BS28&lt;&gt;"Relet"),$E$26,0)</f>
        <v>0</v>
      </c>
      <c r="BG26" s="9">
        <f>IF(AND('Rent Roll'!BU28="Relet",'Rent Roll'!BT28&lt;&gt;"Relet"),$E$26,0)</f>
        <v>0</v>
      </c>
      <c r="BH26" s="9">
        <f>IF(AND('Rent Roll'!BV28="Relet",'Rent Roll'!BU28&lt;&gt;"Relet"),$E$26,0)</f>
        <v>0</v>
      </c>
      <c r="BI26" s="9">
        <f>IF(AND('Rent Roll'!BW28="Relet",'Rent Roll'!BV28&lt;&gt;"Relet"),$E$26,0)</f>
        <v>0</v>
      </c>
      <c r="BJ26" s="9">
        <f>IF(AND('Rent Roll'!BX28="Relet",'Rent Roll'!BW28&lt;&gt;"Relet"),$E$26,0)</f>
        <v>0</v>
      </c>
      <c r="BK26" s="9">
        <f>IF(AND('Rent Roll'!BY28="Relet",'Rent Roll'!BX28&lt;&gt;"Relet"),$E$26,0)</f>
        <v>0</v>
      </c>
      <c r="BL26" s="9">
        <f>IF(AND('Rent Roll'!BZ28="Relet",'Rent Roll'!BY28&lt;&gt;"Relet"),$E$26,0)</f>
        <v>0</v>
      </c>
      <c r="BM26" s="9">
        <f>IF(AND('Rent Roll'!CA28="Relet",'Rent Roll'!BZ28&lt;&gt;"Relet"),$E$26,0)</f>
        <v>0</v>
      </c>
      <c r="BN26" s="9">
        <f>IF(AND('Rent Roll'!CB28="Relet",'Rent Roll'!CA28&lt;&gt;"Relet"),$E$26,0)</f>
        <v>0</v>
      </c>
      <c r="BO26" s="9">
        <f>IF(AND('Rent Roll'!CC28="Relet",'Rent Roll'!CB28&lt;&gt;"Relet"),$E$26,0)</f>
        <v>0</v>
      </c>
    </row>
    <row r="27" spans="1:67" x14ac:dyDescent="0.25">
      <c r="A27" s="7" t="str">
        <f>'Rent Roll'!A31</f>
        <v>4955 A</v>
      </c>
      <c r="B27" s="7" t="str">
        <f>'Rent Roll'!B31</f>
        <v>Sharing &amp; Caring</v>
      </c>
      <c r="C27" s="140">
        <f>'Rent Roll'!C31</f>
        <v>1350</v>
      </c>
      <c r="D27" s="14"/>
      <c r="E27" s="8">
        <f>('Rent Roll'!N31*'Rent Roll'!Q31+(1-'Rent Roll'!N31)*'Rent Roll'!P31)*'Rent Roll'!C31</f>
        <v>20250</v>
      </c>
      <c r="F27" s="14"/>
      <c r="G27" s="14"/>
      <c r="H27" s="9">
        <f>IF('Rent Roll'!V31="Relet",$E$27,0)</f>
        <v>0</v>
      </c>
      <c r="I27" s="9">
        <f>IF(AND('Rent Roll'!W31="Relet",'Rent Roll'!V31&lt;&gt;"Relet"),$E$27,0)</f>
        <v>0</v>
      </c>
      <c r="J27" s="9">
        <f>IF(AND('Rent Roll'!X31="Relet",'Rent Roll'!W31&lt;&gt;"Relet"),$E$27,0)</f>
        <v>0</v>
      </c>
      <c r="K27" s="9">
        <f>IF(AND('Rent Roll'!Y31="Relet",'Rent Roll'!X31&lt;&gt;"Relet"),$E$27,0)</f>
        <v>0</v>
      </c>
      <c r="L27" s="9">
        <f>IF(AND('Rent Roll'!Z31="Relet",'Rent Roll'!Y31&lt;&gt;"Relet"),$E$27,0)</f>
        <v>0</v>
      </c>
      <c r="M27" s="9">
        <f>IF(AND('Rent Roll'!AA31="Relet",'Rent Roll'!Z31&lt;&gt;"Relet"),$E$27,0)</f>
        <v>0</v>
      </c>
      <c r="N27" s="9">
        <f>IF(AND('Rent Roll'!AB31="Relet",'Rent Roll'!AA31&lt;&gt;"Relet"),$E$27,0)</f>
        <v>20250</v>
      </c>
      <c r="O27" s="9">
        <f>IF(AND('Rent Roll'!AC31="Relet",'Rent Roll'!AB31&lt;&gt;"Relet"),$E$27,0)</f>
        <v>0</v>
      </c>
      <c r="P27" s="9">
        <f>IF(AND('Rent Roll'!AD31="Relet",'Rent Roll'!AC31&lt;&gt;"Relet"),$E$27,0)</f>
        <v>0</v>
      </c>
      <c r="Q27" s="9">
        <f>IF(AND('Rent Roll'!AE31="Relet",'Rent Roll'!AD31&lt;&gt;"Relet"),$E$27,0)</f>
        <v>0</v>
      </c>
      <c r="R27" s="9">
        <f>IF(AND('Rent Roll'!AF31="Relet",'Rent Roll'!AE31&lt;&gt;"Relet"),$E$27,0)</f>
        <v>0</v>
      </c>
      <c r="S27" s="9">
        <f>IF(AND('Rent Roll'!AG31="Relet",'Rent Roll'!AF31&lt;&gt;"Relet"),$E$27,0)</f>
        <v>0</v>
      </c>
      <c r="T27" s="9">
        <f>IF(AND('Rent Roll'!AH31="Relet",'Rent Roll'!AG31&lt;&gt;"Relet"),$E$27,0)</f>
        <v>0</v>
      </c>
      <c r="U27" s="9">
        <f>IF(AND('Rent Roll'!AI31="Relet",'Rent Roll'!AH31&lt;&gt;"Relet"),$E$27,0)</f>
        <v>0</v>
      </c>
      <c r="V27" s="9">
        <f>IF(AND('Rent Roll'!AJ31="Relet",'Rent Roll'!AI31&lt;&gt;"Relet"),$E$27,0)</f>
        <v>0</v>
      </c>
      <c r="W27" s="9">
        <f>IF(AND('Rent Roll'!AK31="Relet",'Rent Roll'!AJ31&lt;&gt;"Relet"),$E$27,0)</f>
        <v>0</v>
      </c>
      <c r="X27" s="9">
        <f>IF(AND('Rent Roll'!AL31="Relet",'Rent Roll'!AK31&lt;&gt;"Relet"),$E$27,0)</f>
        <v>0</v>
      </c>
      <c r="Y27" s="9">
        <f>IF(AND('Rent Roll'!AM31="Relet",'Rent Roll'!AL31&lt;&gt;"Relet"),$E$27,0)</f>
        <v>0</v>
      </c>
      <c r="Z27" s="9">
        <f>IF(AND('Rent Roll'!AN31="Relet",'Rent Roll'!AM31&lt;&gt;"Relet"),$E$27,0)</f>
        <v>0</v>
      </c>
      <c r="AA27" s="9">
        <f>IF(AND('Rent Roll'!AO31="Relet",'Rent Roll'!AN31&lt;&gt;"Relet"),$E$27,0)</f>
        <v>0</v>
      </c>
      <c r="AB27" s="9">
        <f>IF(AND('Rent Roll'!AP31="Relet",'Rent Roll'!AO31&lt;&gt;"Relet"),$E$27,0)</f>
        <v>0</v>
      </c>
      <c r="AC27" s="9">
        <f>IF(AND('Rent Roll'!AQ31="Relet",'Rent Roll'!AP31&lt;&gt;"Relet"),$E$27,0)</f>
        <v>0</v>
      </c>
      <c r="AD27" s="9">
        <f>IF(AND('Rent Roll'!AR31="Relet",'Rent Roll'!AQ31&lt;&gt;"Relet"),$E$27,0)</f>
        <v>0</v>
      </c>
      <c r="AE27" s="9">
        <f>IF(AND('Rent Roll'!AS31="Relet",'Rent Roll'!AR31&lt;&gt;"Relet"),$E$27,0)</f>
        <v>0</v>
      </c>
      <c r="AF27" s="9">
        <f>IF(AND('Rent Roll'!AT31="Relet",'Rent Roll'!AS31&lt;&gt;"Relet"),$E$27,0)</f>
        <v>0</v>
      </c>
      <c r="AG27" s="9">
        <f>IF(AND('Rent Roll'!AU31="Relet",'Rent Roll'!AT31&lt;&gt;"Relet"),$E$27,0)</f>
        <v>0</v>
      </c>
      <c r="AH27" s="9">
        <f>IF(AND('Rent Roll'!AV31="Relet",'Rent Roll'!AU31&lt;&gt;"Relet"),$E$27,0)</f>
        <v>0</v>
      </c>
      <c r="AI27" s="9">
        <f>IF(AND('Rent Roll'!AW31="Relet",'Rent Roll'!AV31&lt;&gt;"Relet"),$E$27,0)</f>
        <v>0</v>
      </c>
      <c r="AJ27" s="9">
        <f>IF(AND('Rent Roll'!AX31="Relet",'Rent Roll'!AW31&lt;&gt;"Relet"),$E$27,0)</f>
        <v>0</v>
      </c>
      <c r="AK27" s="9">
        <f>IF(AND('Rent Roll'!AY31="Relet",'Rent Roll'!AX31&lt;&gt;"Relet"),$E$27,0)</f>
        <v>0</v>
      </c>
      <c r="AL27" s="9">
        <f>IF(AND('Rent Roll'!AZ31="Relet",'Rent Roll'!AY31&lt;&gt;"Relet"),$E$27,0)</f>
        <v>0</v>
      </c>
      <c r="AM27" s="9">
        <f>IF(AND('Rent Roll'!BA31="Relet",'Rent Roll'!AZ31&lt;&gt;"Relet"),$E$27,0)</f>
        <v>0</v>
      </c>
      <c r="AN27" s="9">
        <f>IF(AND('Rent Roll'!BB31="Relet",'Rent Roll'!BA31&lt;&gt;"Relet"),$E$27,0)</f>
        <v>0</v>
      </c>
      <c r="AO27" s="9">
        <f>IF(AND('Rent Roll'!BC31="Relet",'Rent Roll'!BB31&lt;&gt;"Relet"),$E$27,0)</f>
        <v>0</v>
      </c>
      <c r="AP27" s="9">
        <f>IF(AND('Rent Roll'!BD31="Relet",'Rent Roll'!BC31&lt;&gt;"Relet"),$E$27,0)</f>
        <v>0</v>
      </c>
      <c r="AQ27" s="9">
        <f>IF(AND('Rent Roll'!BE31="Relet",'Rent Roll'!BD31&lt;&gt;"Relet"),$E$27,0)</f>
        <v>0</v>
      </c>
      <c r="AR27" s="9">
        <f>IF(AND('Rent Roll'!BF31="Relet",'Rent Roll'!BE31&lt;&gt;"Relet"),$E$27,0)</f>
        <v>0</v>
      </c>
      <c r="AS27" s="9">
        <f>IF(AND('Rent Roll'!BG31="Relet",'Rent Roll'!BF31&lt;&gt;"Relet"),$E$27,0)</f>
        <v>0</v>
      </c>
      <c r="AT27" s="9">
        <f>IF(AND('Rent Roll'!BH31="Relet",'Rent Roll'!BG31&lt;&gt;"Relet"),$E$27,0)</f>
        <v>0</v>
      </c>
      <c r="AU27" s="9">
        <f>IF(AND('Rent Roll'!BI31="Relet",'Rent Roll'!BH31&lt;&gt;"Relet"),$E$27,0)</f>
        <v>0</v>
      </c>
      <c r="AV27" s="9">
        <f>IF(AND('Rent Roll'!BJ31="Relet",'Rent Roll'!BI31&lt;&gt;"Relet"),$E$27,0)</f>
        <v>0</v>
      </c>
      <c r="AW27" s="9">
        <f>IF(AND('Rent Roll'!BK31="Relet",'Rent Roll'!BJ31&lt;&gt;"Relet"),$E$27,0)</f>
        <v>0</v>
      </c>
      <c r="AX27" s="9">
        <f>IF(AND('Rent Roll'!BL31="Relet",'Rent Roll'!BK31&lt;&gt;"Relet"),$E$27,0)</f>
        <v>0</v>
      </c>
      <c r="AY27" s="9">
        <f>IF(AND('Rent Roll'!BM31="Relet",'Rent Roll'!BL31&lt;&gt;"Relet"),$E$27,0)</f>
        <v>0</v>
      </c>
      <c r="AZ27" s="9">
        <f>IF(AND('Rent Roll'!BN31="Relet",'Rent Roll'!BM31&lt;&gt;"Relet"),$E$27,0)</f>
        <v>0</v>
      </c>
      <c r="BA27" s="9">
        <f>IF(AND('Rent Roll'!BO31="Relet",'Rent Roll'!BN31&lt;&gt;"Relet"),$E$27,0)</f>
        <v>0</v>
      </c>
      <c r="BB27" s="9">
        <f>IF(AND('Rent Roll'!BP31="Relet",'Rent Roll'!BO31&lt;&gt;"Relet"),$E$27,0)</f>
        <v>0</v>
      </c>
      <c r="BC27" s="9">
        <f>IF(AND('Rent Roll'!BQ31="Relet",'Rent Roll'!BP31&lt;&gt;"Relet"),$E$27,0)</f>
        <v>0</v>
      </c>
      <c r="BD27" s="9">
        <f>IF(AND('Rent Roll'!BR31="Relet",'Rent Roll'!BQ31&lt;&gt;"Relet"),$E$27,0)</f>
        <v>0</v>
      </c>
      <c r="BE27" s="9">
        <f>IF(AND('Rent Roll'!BS31="Relet",'Rent Roll'!BR31&lt;&gt;"Relet"),$E$27,0)</f>
        <v>0</v>
      </c>
      <c r="BF27" s="9">
        <f>IF(AND('Rent Roll'!BT31="Relet",'Rent Roll'!BS31&lt;&gt;"Relet"),$E$27,0)</f>
        <v>0</v>
      </c>
      <c r="BG27" s="9">
        <f>IF(AND('Rent Roll'!BU31="Relet",'Rent Roll'!BT31&lt;&gt;"Relet"),$E$27,0)</f>
        <v>0</v>
      </c>
      <c r="BH27" s="9">
        <f>IF(AND('Rent Roll'!BV31="Relet",'Rent Roll'!BU31&lt;&gt;"Relet"),$E$27,0)</f>
        <v>0</v>
      </c>
      <c r="BI27" s="9">
        <f>IF(AND('Rent Roll'!BW31="Relet",'Rent Roll'!BV31&lt;&gt;"Relet"),$E$27,0)</f>
        <v>0</v>
      </c>
      <c r="BJ27" s="9">
        <f>IF(AND('Rent Roll'!BX31="Relet",'Rent Roll'!BW31&lt;&gt;"Relet"),$E$27,0)</f>
        <v>0</v>
      </c>
      <c r="BK27" s="9">
        <f>IF(AND('Rent Roll'!BY31="Relet",'Rent Roll'!BX31&lt;&gt;"Relet"),$E$27,0)</f>
        <v>0</v>
      </c>
      <c r="BL27" s="9">
        <f>IF(AND('Rent Roll'!BZ31="Relet",'Rent Roll'!BY31&lt;&gt;"Relet"),$E$27,0)</f>
        <v>0</v>
      </c>
      <c r="BM27" s="9">
        <f>IF(AND('Rent Roll'!CA31="Relet",'Rent Roll'!BZ31&lt;&gt;"Relet"),$E$27,0)</f>
        <v>0</v>
      </c>
      <c r="BN27" s="9">
        <f>IF(AND('Rent Roll'!CB31="Relet",'Rent Roll'!CA31&lt;&gt;"Relet"),$E$27,0)</f>
        <v>0</v>
      </c>
      <c r="BO27" s="9">
        <f>IF(AND('Rent Roll'!CC31="Relet",'Rent Roll'!CB31&lt;&gt;"Relet"),$E$27,0)</f>
        <v>0</v>
      </c>
    </row>
    <row r="28" spans="1:67" x14ac:dyDescent="0.25">
      <c r="A28" s="7" t="str">
        <f>'Rent Roll'!A34</f>
        <v>4955 B</v>
      </c>
      <c r="B28" s="7" t="str">
        <f>'Rent Roll'!B34</f>
        <v>Spoteless Cleaners</v>
      </c>
      <c r="C28" s="140">
        <f>'Rent Roll'!C34</f>
        <v>1310</v>
      </c>
      <c r="D28" s="14"/>
      <c r="E28" s="8">
        <f>('Rent Roll'!N34*'Rent Roll'!Q34+(1-'Rent Roll'!N34)*'Rent Roll'!P34)*'Rent Roll'!C34</f>
        <v>19650</v>
      </c>
      <c r="F28" s="14"/>
      <c r="G28" s="14"/>
      <c r="H28" s="9">
        <f>IF('Rent Roll'!V34="Relet",$E$28,0)</f>
        <v>0</v>
      </c>
      <c r="I28" s="9">
        <f>IF(AND('Rent Roll'!W34="Relet",'Rent Roll'!V34&lt;&gt;"Relet"),$E$28,0)</f>
        <v>0</v>
      </c>
      <c r="J28" s="9">
        <f>IF(AND('Rent Roll'!X34="Relet",'Rent Roll'!W34&lt;&gt;"Relet"),$E$28,0)</f>
        <v>0</v>
      </c>
      <c r="K28" s="9">
        <f>IF(AND('Rent Roll'!Y34="Relet",'Rent Roll'!X34&lt;&gt;"Relet"),$E$28,0)</f>
        <v>0</v>
      </c>
      <c r="L28" s="9">
        <f>IF(AND('Rent Roll'!Z34="Relet",'Rent Roll'!Y34&lt;&gt;"Relet"),$E$28,0)</f>
        <v>0</v>
      </c>
      <c r="M28" s="9">
        <f>IF(AND('Rent Roll'!AA34="Relet",'Rent Roll'!Z34&lt;&gt;"Relet"),$E$28,0)</f>
        <v>0</v>
      </c>
      <c r="N28" s="9">
        <f>IF(AND('Rent Roll'!AB34="Relet",'Rent Roll'!AA34&lt;&gt;"Relet"),$E$28,0)</f>
        <v>19650</v>
      </c>
      <c r="O28" s="9">
        <f>IF(AND('Rent Roll'!AC34="Relet",'Rent Roll'!AB34&lt;&gt;"Relet"),$E$28,0)</f>
        <v>0</v>
      </c>
      <c r="P28" s="9">
        <f>IF(AND('Rent Roll'!AD34="Relet",'Rent Roll'!AC34&lt;&gt;"Relet"),$E$28,0)</f>
        <v>0</v>
      </c>
      <c r="Q28" s="9">
        <f>IF(AND('Rent Roll'!AE34="Relet",'Rent Roll'!AD34&lt;&gt;"Relet"),$E$28,0)</f>
        <v>0</v>
      </c>
      <c r="R28" s="9">
        <f>IF(AND('Rent Roll'!AF34="Relet",'Rent Roll'!AE34&lt;&gt;"Relet"),$E$28,0)</f>
        <v>0</v>
      </c>
      <c r="S28" s="9">
        <f>IF(AND('Rent Roll'!AG34="Relet",'Rent Roll'!AF34&lt;&gt;"Relet"),$E$28,0)</f>
        <v>0</v>
      </c>
      <c r="T28" s="9">
        <f>IF(AND('Rent Roll'!AH34="Relet",'Rent Roll'!AG34&lt;&gt;"Relet"),$E$28,0)</f>
        <v>0</v>
      </c>
      <c r="U28" s="9">
        <f>IF(AND('Rent Roll'!AI34="Relet",'Rent Roll'!AH34&lt;&gt;"Relet"),$E$28,0)</f>
        <v>0</v>
      </c>
      <c r="V28" s="9">
        <f>IF(AND('Rent Roll'!AJ34="Relet",'Rent Roll'!AI34&lt;&gt;"Relet"),$E$28,0)</f>
        <v>0</v>
      </c>
      <c r="W28" s="9">
        <f>IF(AND('Rent Roll'!AK34="Relet",'Rent Roll'!AJ34&lt;&gt;"Relet"),$E$28,0)</f>
        <v>0</v>
      </c>
      <c r="X28" s="9">
        <f>IF(AND('Rent Roll'!AL34="Relet",'Rent Roll'!AK34&lt;&gt;"Relet"),$E$28,0)</f>
        <v>0</v>
      </c>
      <c r="Y28" s="9">
        <f>IF(AND('Rent Roll'!AM34="Relet",'Rent Roll'!AL34&lt;&gt;"Relet"),$E$28,0)</f>
        <v>0</v>
      </c>
      <c r="Z28" s="9">
        <f>IF(AND('Rent Roll'!AN34="Relet",'Rent Roll'!AM34&lt;&gt;"Relet"),$E$28,0)</f>
        <v>0</v>
      </c>
      <c r="AA28" s="9">
        <f>IF(AND('Rent Roll'!AO34="Relet",'Rent Roll'!AN34&lt;&gt;"Relet"),$E$28,0)</f>
        <v>0</v>
      </c>
      <c r="AB28" s="9">
        <f>IF(AND('Rent Roll'!AP34="Relet",'Rent Roll'!AO34&lt;&gt;"Relet"),$E$28,0)</f>
        <v>0</v>
      </c>
      <c r="AC28" s="9">
        <f>IF(AND('Rent Roll'!AQ34="Relet",'Rent Roll'!AP34&lt;&gt;"Relet"),$E$28,0)</f>
        <v>0</v>
      </c>
      <c r="AD28" s="9">
        <f>IF(AND('Rent Roll'!AR34="Relet",'Rent Roll'!AQ34&lt;&gt;"Relet"),$E$28,0)</f>
        <v>0</v>
      </c>
      <c r="AE28" s="9">
        <f>IF(AND('Rent Roll'!AS34="Relet",'Rent Roll'!AR34&lt;&gt;"Relet"),$E$28,0)</f>
        <v>0</v>
      </c>
      <c r="AF28" s="9">
        <f>IF(AND('Rent Roll'!AT34="Relet",'Rent Roll'!AS34&lt;&gt;"Relet"),$E$28,0)</f>
        <v>0</v>
      </c>
      <c r="AG28" s="9">
        <f>IF(AND('Rent Roll'!AU34="Relet",'Rent Roll'!AT34&lt;&gt;"Relet"),$E$28,0)</f>
        <v>0</v>
      </c>
      <c r="AH28" s="9">
        <f>IF(AND('Rent Roll'!AV34="Relet",'Rent Roll'!AU34&lt;&gt;"Relet"),$E$28,0)</f>
        <v>0</v>
      </c>
      <c r="AI28" s="9">
        <f>IF(AND('Rent Roll'!AW34="Relet",'Rent Roll'!AV34&lt;&gt;"Relet"),$E$28,0)</f>
        <v>0</v>
      </c>
      <c r="AJ28" s="9">
        <f>IF(AND('Rent Roll'!AX34="Relet",'Rent Roll'!AW34&lt;&gt;"Relet"),$E$28,0)</f>
        <v>0</v>
      </c>
      <c r="AK28" s="9">
        <f>IF(AND('Rent Roll'!AY34="Relet",'Rent Roll'!AX34&lt;&gt;"Relet"),$E$28,0)</f>
        <v>0</v>
      </c>
      <c r="AL28" s="9">
        <f>IF(AND('Rent Roll'!AZ34="Relet",'Rent Roll'!AY34&lt;&gt;"Relet"),$E$28,0)</f>
        <v>0</v>
      </c>
      <c r="AM28" s="9">
        <f>IF(AND('Rent Roll'!BA34="Relet",'Rent Roll'!AZ34&lt;&gt;"Relet"),$E$28,0)</f>
        <v>0</v>
      </c>
      <c r="AN28" s="9">
        <f>IF(AND('Rent Roll'!BB34="Relet",'Rent Roll'!BA34&lt;&gt;"Relet"),$E$28,0)</f>
        <v>0</v>
      </c>
      <c r="AO28" s="9">
        <f>IF(AND('Rent Roll'!BC34="Relet",'Rent Roll'!BB34&lt;&gt;"Relet"),$E$28,0)</f>
        <v>0</v>
      </c>
      <c r="AP28" s="9">
        <f>IF(AND('Rent Roll'!BD34="Relet",'Rent Roll'!BC34&lt;&gt;"Relet"),$E$28,0)</f>
        <v>0</v>
      </c>
      <c r="AQ28" s="9">
        <f>IF(AND('Rent Roll'!BE34="Relet",'Rent Roll'!BD34&lt;&gt;"Relet"),$E$28,0)</f>
        <v>0</v>
      </c>
      <c r="AR28" s="9">
        <f>IF(AND('Rent Roll'!BF34="Relet",'Rent Roll'!BE34&lt;&gt;"Relet"),$E$28,0)</f>
        <v>0</v>
      </c>
      <c r="AS28" s="9">
        <f>IF(AND('Rent Roll'!BG34="Relet",'Rent Roll'!BF34&lt;&gt;"Relet"),$E$28,0)</f>
        <v>0</v>
      </c>
      <c r="AT28" s="9">
        <f>IF(AND('Rent Roll'!BH34="Relet",'Rent Roll'!BG34&lt;&gt;"Relet"),$E$28,0)</f>
        <v>0</v>
      </c>
      <c r="AU28" s="9">
        <f>IF(AND('Rent Roll'!BI34="Relet",'Rent Roll'!BH34&lt;&gt;"Relet"),$E$28,0)</f>
        <v>0</v>
      </c>
      <c r="AV28" s="9">
        <f>IF(AND('Rent Roll'!BJ34="Relet",'Rent Roll'!BI34&lt;&gt;"Relet"),$E$28,0)</f>
        <v>0</v>
      </c>
      <c r="AW28" s="9">
        <f>IF(AND('Rent Roll'!BK34="Relet",'Rent Roll'!BJ34&lt;&gt;"Relet"),$E$28,0)</f>
        <v>0</v>
      </c>
      <c r="AX28" s="9">
        <f>IF(AND('Rent Roll'!BL34="Relet",'Rent Roll'!BK34&lt;&gt;"Relet"),$E$28,0)</f>
        <v>0</v>
      </c>
      <c r="AY28" s="9">
        <f>IF(AND('Rent Roll'!BM34="Relet",'Rent Roll'!BL34&lt;&gt;"Relet"),$E$28,0)</f>
        <v>0</v>
      </c>
      <c r="AZ28" s="9">
        <f>IF(AND('Rent Roll'!BN34="Relet",'Rent Roll'!BM34&lt;&gt;"Relet"),$E$28,0)</f>
        <v>0</v>
      </c>
      <c r="BA28" s="9">
        <f>IF(AND('Rent Roll'!BO34="Relet",'Rent Roll'!BN34&lt;&gt;"Relet"),$E$28,0)</f>
        <v>0</v>
      </c>
      <c r="BB28" s="9">
        <f>IF(AND('Rent Roll'!BP34="Relet",'Rent Roll'!BO34&lt;&gt;"Relet"),$E$28,0)</f>
        <v>0</v>
      </c>
      <c r="BC28" s="9">
        <f>IF(AND('Rent Roll'!BQ34="Relet",'Rent Roll'!BP34&lt;&gt;"Relet"),$E$28,0)</f>
        <v>0</v>
      </c>
      <c r="BD28" s="9">
        <f>IF(AND('Rent Roll'!BR34="Relet",'Rent Roll'!BQ34&lt;&gt;"Relet"),$E$28,0)</f>
        <v>0</v>
      </c>
      <c r="BE28" s="9">
        <f>IF(AND('Rent Roll'!BS34="Relet",'Rent Roll'!BR34&lt;&gt;"Relet"),$E$28,0)</f>
        <v>0</v>
      </c>
      <c r="BF28" s="9">
        <f>IF(AND('Rent Roll'!BT34="Relet",'Rent Roll'!BS34&lt;&gt;"Relet"),$E$28,0)</f>
        <v>0</v>
      </c>
      <c r="BG28" s="9">
        <f>IF(AND('Rent Roll'!BU34="Relet",'Rent Roll'!BT34&lt;&gt;"Relet"),$E$28,0)</f>
        <v>0</v>
      </c>
      <c r="BH28" s="9">
        <f>IF(AND('Rent Roll'!BV34="Relet",'Rent Roll'!BU34&lt;&gt;"Relet"),$E$28,0)</f>
        <v>0</v>
      </c>
      <c r="BI28" s="9">
        <f>IF(AND('Rent Roll'!BW34="Relet",'Rent Roll'!BV34&lt;&gt;"Relet"),$E$28,0)</f>
        <v>0</v>
      </c>
      <c r="BJ28" s="9">
        <f>IF(AND('Rent Roll'!BX34="Relet",'Rent Roll'!BW34&lt;&gt;"Relet"),$E$28,0)</f>
        <v>0</v>
      </c>
      <c r="BK28" s="9">
        <f>IF(AND('Rent Roll'!BY34="Relet",'Rent Roll'!BX34&lt;&gt;"Relet"),$E$28,0)</f>
        <v>0</v>
      </c>
      <c r="BL28" s="9">
        <f>IF(AND('Rent Roll'!BZ34="Relet",'Rent Roll'!BY34&lt;&gt;"Relet"),$E$28,0)</f>
        <v>0</v>
      </c>
      <c r="BM28" s="9">
        <f>IF(AND('Rent Roll'!CA34="Relet",'Rent Roll'!BZ34&lt;&gt;"Relet"),$E$28,0)</f>
        <v>0</v>
      </c>
      <c r="BN28" s="9">
        <f>IF(AND('Rent Roll'!CB34="Relet",'Rent Roll'!CA34&lt;&gt;"Relet"),$E$28,0)</f>
        <v>0</v>
      </c>
      <c r="BO28" s="9">
        <f>IF(AND('Rent Roll'!CC34="Relet",'Rent Roll'!CB34&lt;&gt;"Relet"),$E$28,0)</f>
        <v>0</v>
      </c>
    </row>
    <row r="29" spans="1:67" x14ac:dyDescent="0.25">
      <c r="A29" s="7" t="str">
        <f>'Rent Roll'!A37</f>
        <v>4955 C</v>
      </c>
      <c r="B29" s="7" t="str">
        <f>'Rent Roll'!B37</f>
        <v>Dawn's Pet Palace</v>
      </c>
      <c r="C29" s="140">
        <f>'Rent Roll'!C37</f>
        <v>1880</v>
      </c>
      <c r="D29" s="14"/>
      <c r="E29" s="8">
        <f>('Rent Roll'!N37*'Rent Roll'!Q37+(1-'Rent Roll'!N37)*'Rent Roll'!P37)*'Rent Roll'!C37</f>
        <v>18800</v>
      </c>
      <c r="F29" s="14"/>
      <c r="G29" s="14"/>
      <c r="H29" s="9">
        <f>IF('Rent Roll'!V37="Relet",$E$29,0)</f>
        <v>0</v>
      </c>
      <c r="I29" s="9">
        <f>IF(AND('Rent Roll'!W37="Relet",'Rent Roll'!V37&lt;&gt;"Relet"),$E$29,0)</f>
        <v>0</v>
      </c>
      <c r="J29" s="9">
        <f>IF(AND('Rent Roll'!X37="Relet",'Rent Roll'!W37&lt;&gt;"Relet"),$E$29,0)</f>
        <v>0</v>
      </c>
      <c r="K29" s="9">
        <f>IF(AND('Rent Roll'!Y37="Relet",'Rent Roll'!X37&lt;&gt;"Relet"),$E$29,0)</f>
        <v>0</v>
      </c>
      <c r="L29" s="9">
        <f>IF(AND('Rent Roll'!Z37="Relet",'Rent Roll'!Y37&lt;&gt;"Relet"),$E$29,0)</f>
        <v>0</v>
      </c>
      <c r="M29" s="9">
        <f>IF(AND('Rent Roll'!AA37="Relet",'Rent Roll'!Z37&lt;&gt;"Relet"),$E$29,0)</f>
        <v>0</v>
      </c>
      <c r="N29" s="9">
        <f>IF(AND('Rent Roll'!AB37="Relet",'Rent Roll'!AA37&lt;&gt;"Relet"),$E$29,0)</f>
        <v>0</v>
      </c>
      <c r="O29" s="9">
        <f>IF(AND('Rent Roll'!AC37="Relet",'Rent Roll'!AB37&lt;&gt;"Relet"),$E$29,0)</f>
        <v>0</v>
      </c>
      <c r="P29" s="9">
        <f>IF(AND('Rent Roll'!AD37="Relet",'Rent Roll'!AC37&lt;&gt;"Relet"),$E$29,0)</f>
        <v>0</v>
      </c>
      <c r="Q29" s="9">
        <f>IF(AND('Rent Roll'!AE37="Relet",'Rent Roll'!AD37&lt;&gt;"Relet"),$E$29,0)</f>
        <v>0</v>
      </c>
      <c r="R29" s="9">
        <f>IF(AND('Rent Roll'!AF37="Relet",'Rent Roll'!AE37&lt;&gt;"Relet"),$E$29,0)</f>
        <v>0</v>
      </c>
      <c r="S29" s="9">
        <f>IF(AND('Rent Roll'!AG37="Relet",'Rent Roll'!AF37&lt;&gt;"Relet"),$E$29,0)</f>
        <v>0</v>
      </c>
      <c r="T29" s="9">
        <f>IF(AND('Rent Roll'!AH37="Relet",'Rent Roll'!AG37&lt;&gt;"Relet"),$E$29,0)</f>
        <v>0</v>
      </c>
      <c r="U29" s="9">
        <f>IF(AND('Rent Roll'!AI37="Relet",'Rent Roll'!AH37&lt;&gt;"Relet"),$E$29,0)</f>
        <v>0</v>
      </c>
      <c r="V29" s="9">
        <f>IF(AND('Rent Roll'!AJ37="Relet",'Rent Roll'!AI37&lt;&gt;"Relet"),$E$29,0)</f>
        <v>0</v>
      </c>
      <c r="W29" s="9">
        <f>IF(AND('Rent Roll'!AK37="Relet",'Rent Roll'!AJ37&lt;&gt;"Relet"),$E$29,0)</f>
        <v>0</v>
      </c>
      <c r="X29" s="9">
        <f>IF(AND('Rent Roll'!AL37="Relet",'Rent Roll'!AK37&lt;&gt;"Relet"),$E$29,0)</f>
        <v>0</v>
      </c>
      <c r="Y29" s="9">
        <f>IF(AND('Rent Roll'!AM37="Relet",'Rent Roll'!AL37&lt;&gt;"Relet"),$E$29,0)</f>
        <v>0</v>
      </c>
      <c r="Z29" s="9">
        <f>IF(AND('Rent Roll'!AN37="Relet",'Rent Roll'!AM37&lt;&gt;"Relet"),$E$29,0)</f>
        <v>0</v>
      </c>
      <c r="AA29" s="9">
        <f>IF(AND('Rent Roll'!AO37="Relet",'Rent Roll'!AN37&lt;&gt;"Relet"),$E$29,0)</f>
        <v>0</v>
      </c>
      <c r="AB29" s="9">
        <f>IF(AND('Rent Roll'!AP37="Relet",'Rent Roll'!AO37&lt;&gt;"Relet"),$E$29,0)</f>
        <v>0</v>
      </c>
      <c r="AC29" s="9">
        <f>IF(AND('Rent Roll'!AQ37="Relet",'Rent Roll'!AP37&lt;&gt;"Relet"),$E$29,0)</f>
        <v>0</v>
      </c>
      <c r="AD29" s="9">
        <f>IF(AND('Rent Roll'!AR37="Relet",'Rent Roll'!AQ37&lt;&gt;"Relet"),$E$29,0)</f>
        <v>0</v>
      </c>
      <c r="AE29" s="9">
        <f>IF(AND('Rent Roll'!AS37="Relet",'Rent Roll'!AR37&lt;&gt;"Relet"),$E$29,0)</f>
        <v>0</v>
      </c>
      <c r="AF29" s="9">
        <f>IF(AND('Rent Roll'!AT37="Relet",'Rent Roll'!AS37&lt;&gt;"Relet"),$E$29,0)</f>
        <v>0</v>
      </c>
      <c r="AG29" s="9">
        <f>IF(AND('Rent Roll'!AU37="Relet",'Rent Roll'!AT37&lt;&gt;"Relet"),$E$29,0)</f>
        <v>0</v>
      </c>
      <c r="AH29" s="9">
        <f>IF(AND('Rent Roll'!AV37="Relet",'Rent Roll'!AU37&lt;&gt;"Relet"),$E$29,0)</f>
        <v>0</v>
      </c>
      <c r="AI29" s="9">
        <f>IF(AND('Rent Roll'!AW37="Relet",'Rent Roll'!AV37&lt;&gt;"Relet"),$E$29,0)</f>
        <v>0</v>
      </c>
      <c r="AJ29" s="9">
        <f>IF(AND('Rent Roll'!AX37="Relet",'Rent Roll'!AW37&lt;&gt;"Relet"),$E$29,0)</f>
        <v>0</v>
      </c>
      <c r="AK29" s="9">
        <f>IF(AND('Rent Roll'!AY37="Relet",'Rent Roll'!AX37&lt;&gt;"Relet"),$E$29,0)</f>
        <v>0</v>
      </c>
      <c r="AL29" s="9">
        <f>IF(AND('Rent Roll'!AZ37="Relet",'Rent Roll'!AY37&lt;&gt;"Relet"),$E$29,0)</f>
        <v>0</v>
      </c>
      <c r="AM29" s="9">
        <f>IF(AND('Rent Roll'!BA37="Relet",'Rent Roll'!AZ37&lt;&gt;"Relet"),$E$29,0)</f>
        <v>0</v>
      </c>
      <c r="AN29" s="9">
        <f>IF(AND('Rent Roll'!BB37="Relet",'Rent Roll'!BA37&lt;&gt;"Relet"),$E$29,0)</f>
        <v>0</v>
      </c>
      <c r="AO29" s="9">
        <f>IF(AND('Rent Roll'!BC37="Relet",'Rent Roll'!BB37&lt;&gt;"Relet"),$E$29,0)</f>
        <v>0</v>
      </c>
      <c r="AP29" s="9">
        <f>IF(AND('Rent Roll'!BD37="Relet",'Rent Roll'!BC37&lt;&gt;"Relet"),$E$29,0)</f>
        <v>0</v>
      </c>
      <c r="AQ29" s="9">
        <f>IF(AND('Rent Roll'!BE37="Relet",'Rent Roll'!BD37&lt;&gt;"Relet"),$E$29,0)</f>
        <v>0</v>
      </c>
      <c r="AR29" s="9">
        <f>IF(AND('Rent Roll'!BF37="Relet",'Rent Roll'!BE37&lt;&gt;"Relet"),$E$29,0)</f>
        <v>18800</v>
      </c>
      <c r="AS29" s="9">
        <f>IF(AND('Rent Roll'!BG37="Relet",'Rent Roll'!BF37&lt;&gt;"Relet"),$E$29,0)</f>
        <v>0</v>
      </c>
      <c r="AT29" s="9">
        <f>IF(AND('Rent Roll'!BH37="Relet",'Rent Roll'!BG37&lt;&gt;"Relet"),$E$29,0)</f>
        <v>0</v>
      </c>
      <c r="AU29" s="9">
        <f>IF(AND('Rent Roll'!BI37="Relet",'Rent Roll'!BH37&lt;&gt;"Relet"),$E$29,0)</f>
        <v>0</v>
      </c>
      <c r="AV29" s="9">
        <f>IF(AND('Rent Roll'!BJ37="Relet",'Rent Roll'!BI37&lt;&gt;"Relet"),$E$29,0)</f>
        <v>0</v>
      </c>
      <c r="AW29" s="9">
        <f>IF(AND('Rent Roll'!BK37="Relet",'Rent Roll'!BJ37&lt;&gt;"Relet"),$E$29,0)</f>
        <v>0</v>
      </c>
      <c r="AX29" s="9">
        <f>IF(AND('Rent Roll'!BL37="Relet",'Rent Roll'!BK37&lt;&gt;"Relet"),$E$29,0)</f>
        <v>0</v>
      </c>
      <c r="AY29" s="9">
        <f>IF(AND('Rent Roll'!BM37="Relet",'Rent Roll'!BL37&lt;&gt;"Relet"),$E$29,0)</f>
        <v>0</v>
      </c>
      <c r="AZ29" s="9">
        <f>IF(AND('Rent Roll'!BN37="Relet",'Rent Roll'!BM37&lt;&gt;"Relet"),$E$29,0)</f>
        <v>0</v>
      </c>
      <c r="BA29" s="9">
        <f>IF(AND('Rent Roll'!BO37="Relet",'Rent Roll'!BN37&lt;&gt;"Relet"),$E$29,0)</f>
        <v>0</v>
      </c>
      <c r="BB29" s="9">
        <f>IF(AND('Rent Roll'!BP37="Relet",'Rent Roll'!BO37&lt;&gt;"Relet"),$E$29,0)</f>
        <v>0</v>
      </c>
      <c r="BC29" s="9">
        <f>IF(AND('Rent Roll'!BQ37="Relet",'Rent Roll'!BP37&lt;&gt;"Relet"),$E$29,0)</f>
        <v>0</v>
      </c>
      <c r="BD29" s="9">
        <f>IF(AND('Rent Roll'!BR37="Relet",'Rent Roll'!BQ37&lt;&gt;"Relet"),$E$29,0)</f>
        <v>0</v>
      </c>
      <c r="BE29" s="9">
        <f>IF(AND('Rent Roll'!BS37="Relet",'Rent Roll'!BR37&lt;&gt;"Relet"),$E$29,0)</f>
        <v>0</v>
      </c>
      <c r="BF29" s="9">
        <f>IF(AND('Rent Roll'!BT37="Relet",'Rent Roll'!BS37&lt;&gt;"Relet"),$E$29,0)</f>
        <v>0</v>
      </c>
      <c r="BG29" s="9">
        <f>IF(AND('Rent Roll'!BU37="Relet",'Rent Roll'!BT37&lt;&gt;"Relet"),$E$29,0)</f>
        <v>0</v>
      </c>
      <c r="BH29" s="9">
        <f>IF(AND('Rent Roll'!BV37="Relet",'Rent Roll'!BU37&lt;&gt;"Relet"),$E$29,0)</f>
        <v>0</v>
      </c>
      <c r="BI29" s="9">
        <f>IF(AND('Rent Roll'!BW37="Relet",'Rent Roll'!BV37&lt;&gt;"Relet"),$E$29,0)</f>
        <v>0</v>
      </c>
      <c r="BJ29" s="9">
        <f>IF(AND('Rent Roll'!BX37="Relet",'Rent Roll'!BW37&lt;&gt;"Relet"),$E$29,0)</f>
        <v>0</v>
      </c>
      <c r="BK29" s="9">
        <f>IF(AND('Rent Roll'!BY37="Relet",'Rent Roll'!BX37&lt;&gt;"Relet"),$E$29,0)</f>
        <v>0</v>
      </c>
      <c r="BL29" s="9">
        <f>IF(AND('Rent Roll'!BZ37="Relet",'Rent Roll'!BY37&lt;&gt;"Relet"),$E$29,0)</f>
        <v>0</v>
      </c>
      <c r="BM29" s="9">
        <f>IF(AND('Rent Roll'!CA37="Relet",'Rent Roll'!BZ37&lt;&gt;"Relet"),$E$29,0)</f>
        <v>0</v>
      </c>
      <c r="BN29" s="9">
        <f>IF(AND('Rent Roll'!CB37="Relet",'Rent Roll'!CA37&lt;&gt;"Relet"),$E$29,0)</f>
        <v>0</v>
      </c>
      <c r="BO29" s="9">
        <f>IF(AND('Rent Roll'!CC37="Relet",'Rent Roll'!CB37&lt;&gt;"Relet"),$E$29,0)</f>
        <v>0</v>
      </c>
    </row>
    <row r="30" spans="1:67" x14ac:dyDescent="0.25">
      <c r="A30" s="89"/>
      <c r="B30" s="89" t="s">
        <v>239</v>
      </c>
      <c r="C30" s="90">
        <f>SUM(C18:C29)</f>
        <v>17880</v>
      </c>
      <c r="D30" s="89"/>
      <c r="E30" s="92">
        <f>SUM(E18:E29)</f>
        <v>240000</v>
      </c>
      <c r="F30" s="89"/>
      <c r="G30" s="89"/>
      <c r="H30" s="92">
        <f t="shared" ref="H30:AM30" si="2">SUM(H18:H29)</f>
        <v>0</v>
      </c>
      <c r="I30" s="92">
        <f t="shared" si="2"/>
        <v>0</v>
      </c>
      <c r="J30" s="92">
        <f t="shared" si="2"/>
        <v>0</v>
      </c>
      <c r="K30" s="92">
        <f t="shared" si="2"/>
        <v>0</v>
      </c>
      <c r="L30" s="92">
        <f t="shared" si="2"/>
        <v>0</v>
      </c>
      <c r="M30" s="92">
        <f t="shared" si="2"/>
        <v>56500</v>
      </c>
      <c r="N30" s="92">
        <f t="shared" si="2"/>
        <v>98100</v>
      </c>
      <c r="O30" s="92">
        <f t="shared" si="2"/>
        <v>0</v>
      </c>
      <c r="P30" s="92">
        <f t="shared" si="2"/>
        <v>0</v>
      </c>
      <c r="Q30" s="92">
        <f t="shared" si="2"/>
        <v>0</v>
      </c>
      <c r="R30" s="92">
        <f t="shared" si="2"/>
        <v>0</v>
      </c>
      <c r="S30" s="92">
        <f t="shared" si="2"/>
        <v>0</v>
      </c>
      <c r="T30" s="92">
        <f t="shared" si="2"/>
        <v>0</v>
      </c>
      <c r="U30" s="92">
        <f t="shared" si="2"/>
        <v>0</v>
      </c>
      <c r="V30" s="92">
        <f t="shared" si="2"/>
        <v>0</v>
      </c>
      <c r="W30" s="92">
        <f t="shared" si="2"/>
        <v>0</v>
      </c>
      <c r="X30" s="92">
        <f t="shared" si="2"/>
        <v>0</v>
      </c>
      <c r="Y30" s="92">
        <f t="shared" si="2"/>
        <v>0</v>
      </c>
      <c r="Z30" s="92">
        <f t="shared" si="2"/>
        <v>0</v>
      </c>
      <c r="AA30" s="92">
        <f t="shared" si="2"/>
        <v>0</v>
      </c>
      <c r="AB30" s="92">
        <f t="shared" si="2"/>
        <v>0</v>
      </c>
      <c r="AC30" s="92">
        <f t="shared" si="2"/>
        <v>0</v>
      </c>
      <c r="AD30" s="92">
        <f t="shared" si="2"/>
        <v>0</v>
      </c>
      <c r="AE30" s="92">
        <f t="shared" si="2"/>
        <v>0</v>
      </c>
      <c r="AF30" s="92">
        <f t="shared" si="2"/>
        <v>0</v>
      </c>
      <c r="AG30" s="92">
        <f t="shared" si="2"/>
        <v>0</v>
      </c>
      <c r="AH30" s="92">
        <f t="shared" si="2"/>
        <v>0</v>
      </c>
      <c r="AI30" s="92">
        <f t="shared" si="2"/>
        <v>0</v>
      </c>
      <c r="AJ30" s="92">
        <f t="shared" si="2"/>
        <v>0</v>
      </c>
      <c r="AK30" s="92">
        <f t="shared" si="2"/>
        <v>0</v>
      </c>
      <c r="AL30" s="92">
        <f t="shared" si="2"/>
        <v>0</v>
      </c>
      <c r="AM30" s="92">
        <f t="shared" si="2"/>
        <v>0</v>
      </c>
      <c r="AN30" s="92">
        <f t="shared" ref="AN30:BO30" si="3">SUM(AN18:AN29)</f>
        <v>0</v>
      </c>
      <c r="AO30" s="92">
        <f t="shared" si="3"/>
        <v>0</v>
      </c>
      <c r="AP30" s="92">
        <f t="shared" si="3"/>
        <v>0</v>
      </c>
      <c r="AQ30" s="92">
        <f t="shared" si="3"/>
        <v>0</v>
      </c>
      <c r="AR30" s="92">
        <f t="shared" si="3"/>
        <v>18800</v>
      </c>
      <c r="AS30" s="92">
        <f t="shared" si="3"/>
        <v>0</v>
      </c>
      <c r="AT30" s="92">
        <f t="shared" si="3"/>
        <v>0</v>
      </c>
      <c r="AU30" s="92">
        <f t="shared" si="3"/>
        <v>0</v>
      </c>
      <c r="AV30" s="92">
        <f t="shared" si="3"/>
        <v>0</v>
      </c>
      <c r="AW30" s="92">
        <f t="shared" si="3"/>
        <v>8100</v>
      </c>
      <c r="AX30" s="92">
        <f t="shared" si="3"/>
        <v>0</v>
      </c>
      <c r="AY30" s="92">
        <f t="shared" si="3"/>
        <v>0</v>
      </c>
      <c r="AZ30" s="92">
        <f t="shared" si="3"/>
        <v>0</v>
      </c>
      <c r="BA30" s="92">
        <f t="shared" si="3"/>
        <v>0</v>
      </c>
      <c r="BB30" s="92">
        <f t="shared" si="3"/>
        <v>0</v>
      </c>
      <c r="BC30" s="92">
        <f t="shared" si="3"/>
        <v>22300</v>
      </c>
      <c r="BD30" s="92">
        <f t="shared" si="3"/>
        <v>0</v>
      </c>
      <c r="BE30" s="92">
        <f t="shared" si="3"/>
        <v>0</v>
      </c>
      <c r="BF30" s="92">
        <f t="shared" si="3"/>
        <v>0</v>
      </c>
      <c r="BG30" s="92">
        <f t="shared" si="3"/>
        <v>0</v>
      </c>
      <c r="BH30" s="92">
        <f t="shared" si="3"/>
        <v>0</v>
      </c>
      <c r="BI30" s="92">
        <f t="shared" si="3"/>
        <v>0</v>
      </c>
      <c r="BJ30" s="92">
        <f t="shared" si="3"/>
        <v>0</v>
      </c>
      <c r="BK30" s="92">
        <f t="shared" si="3"/>
        <v>0</v>
      </c>
      <c r="BL30" s="92">
        <f t="shared" si="3"/>
        <v>0</v>
      </c>
      <c r="BM30" s="92">
        <f t="shared" si="3"/>
        <v>0</v>
      </c>
      <c r="BN30" s="92">
        <f t="shared" si="3"/>
        <v>0</v>
      </c>
      <c r="BO30" s="92">
        <f t="shared" si="3"/>
        <v>36200</v>
      </c>
    </row>
    <row r="31" spans="1:67" x14ac:dyDescent="0.25">
      <c r="E31" s="141">
        <f>E30 / C30</f>
        <v>13.422818791946309</v>
      </c>
    </row>
    <row r="32" spans="1:67" x14ac:dyDescent="0.25">
      <c r="A32" s="123" t="s">
        <v>240</v>
      </c>
      <c r="B32" s="14"/>
      <c r="C32" s="14"/>
      <c r="D32" s="14"/>
      <c r="E32" s="55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</row>
    <row r="33" spans="1:67" x14ac:dyDescent="0.25">
      <c r="A33" s="74" t="s">
        <v>214</v>
      </c>
      <c r="B33" s="74" t="s">
        <v>236</v>
      </c>
      <c r="C33" s="74" t="s">
        <v>122</v>
      </c>
      <c r="D33" s="74" t="s">
        <v>237</v>
      </c>
      <c r="E33" s="138" t="s">
        <v>241</v>
      </c>
      <c r="F33" s="74"/>
      <c r="G33" s="74"/>
      <c r="H33" s="139">
        <v>1</v>
      </c>
      <c r="I33" s="139">
        <v>2</v>
      </c>
      <c r="J33" s="139">
        <v>3</v>
      </c>
      <c r="K33" s="139">
        <v>4</v>
      </c>
      <c r="L33" s="139">
        <v>5</v>
      </c>
      <c r="M33" s="139">
        <v>6</v>
      </c>
      <c r="N33" s="139">
        <v>7</v>
      </c>
      <c r="O33" s="139">
        <v>8</v>
      </c>
      <c r="P33" s="139">
        <v>9</v>
      </c>
      <c r="Q33" s="139">
        <v>10</v>
      </c>
      <c r="R33" s="139">
        <v>11</v>
      </c>
      <c r="S33" s="139">
        <v>12</v>
      </c>
      <c r="T33" s="139">
        <v>13</v>
      </c>
      <c r="U33" s="139">
        <v>14</v>
      </c>
      <c r="V33" s="139">
        <v>15</v>
      </c>
      <c r="W33" s="139">
        <v>16</v>
      </c>
      <c r="X33" s="139">
        <v>17</v>
      </c>
      <c r="Y33" s="139">
        <v>18</v>
      </c>
      <c r="Z33" s="139">
        <v>19</v>
      </c>
      <c r="AA33" s="139">
        <v>20</v>
      </c>
      <c r="AB33" s="139">
        <v>21</v>
      </c>
      <c r="AC33" s="139">
        <v>22</v>
      </c>
      <c r="AD33" s="139">
        <v>23</v>
      </c>
      <c r="AE33" s="139">
        <v>24</v>
      </c>
      <c r="AF33" s="139">
        <v>25</v>
      </c>
      <c r="AG33" s="139">
        <v>26</v>
      </c>
      <c r="AH33" s="139">
        <v>27</v>
      </c>
      <c r="AI33" s="139">
        <v>28</v>
      </c>
      <c r="AJ33" s="139">
        <v>29</v>
      </c>
      <c r="AK33" s="139">
        <v>30</v>
      </c>
      <c r="AL33" s="139">
        <v>31</v>
      </c>
      <c r="AM33" s="139">
        <v>32</v>
      </c>
      <c r="AN33" s="139">
        <v>33</v>
      </c>
      <c r="AO33" s="139">
        <v>34</v>
      </c>
      <c r="AP33" s="139">
        <v>35</v>
      </c>
      <c r="AQ33" s="139">
        <v>36</v>
      </c>
      <c r="AR33" s="139">
        <v>37</v>
      </c>
      <c r="AS33" s="139">
        <v>38</v>
      </c>
      <c r="AT33" s="139">
        <v>39</v>
      </c>
      <c r="AU33" s="139">
        <v>40</v>
      </c>
      <c r="AV33" s="139">
        <v>41</v>
      </c>
      <c r="AW33" s="139">
        <v>42</v>
      </c>
      <c r="AX33" s="139">
        <v>43</v>
      </c>
      <c r="AY33" s="139">
        <v>44</v>
      </c>
      <c r="AZ33" s="139">
        <v>45</v>
      </c>
      <c r="BA33" s="139">
        <v>46</v>
      </c>
      <c r="BB33" s="139">
        <v>47</v>
      </c>
      <c r="BC33" s="139">
        <v>48</v>
      </c>
      <c r="BD33" s="139">
        <v>49</v>
      </c>
      <c r="BE33" s="139">
        <v>50</v>
      </c>
      <c r="BF33" s="139">
        <v>51</v>
      </c>
      <c r="BG33" s="139">
        <v>52</v>
      </c>
      <c r="BH33" s="139">
        <v>53</v>
      </c>
      <c r="BI33" s="139">
        <v>54</v>
      </c>
      <c r="BJ33" s="139">
        <v>55</v>
      </c>
      <c r="BK33" s="139">
        <v>56</v>
      </c>
      <c r="BL33" s="139">
        <v>57</v>
      </c>
      <c r="BM33" s="139">
        <v>58</v>
      </c>
      <c r="BN33" s="139">
        <v>59</v>
      </c>
      <c r="BO33" s="139">
        <v>60</v>
      </c>
    </row>
    <row r="34" spans="1:67" x14ac:dyDescent="0.25">
      <c r="A34" s="7" t="str">
        <f>'Rent Roll'!A4</f>
        <v>4949 A1&amp;A2</v>
      </c>
      <c r="B34" s="7" t="str">
        <f>'Rent Roll'!B4</f>
        <v>Middle East Bakery</v>
      </c>
      <c r="C34" s="140">
        <f>'Rent Roll'!C4</f>
        <v>2230</v>
      </c>
      <c r="D34" s="225">
        <f>IFERROR(MATCH("Relet", 'Rent Roll'!V4:CD4, 0), 0)</f>
        <v>48</v>
      </c>
      <c r="E34" s="8" cm="1">
        <f t="array" ref="E34">IF(D34=0,0,('Rent Roll'!$N$4*'Rent Roll'!$S$4+(1-'Rent Roll'!$N$4)*'Rent Roll'!$R$4)*INDEX('Rent Roll'!V5:CD5,1,D34)*'Rent Roll'!$C$4*12*('Rent Roll'!$K$4/12))</f>
        <v>5482.7577225000005</v>
      </c>
      <c r="F34" s="14"/>
      <c r="G34" s="14"/>
      <c r="H34" s="9">
        <f>IF(H$33=$D$34,$E$34,0)</f>
        <v>0</v>
      </c>
      <c r="I34" s="9">
        <f>IF(I$33=$D$34,$E$34,0)</f>
        <v>0</v>
      </c>
      <c r="J34" s="9">
        <f t="shared" ref="J34:BO34" si="4">IF(J$33=$D$34,$E$34,0)</f>
        <v>0</v>
      </c>
      <c r="K34" s="9">
        <f t="shared" si="4"/>
        <v>0</v>
      </c>
      <c r="L34" s="9">
        <f t="shared" si="4"/>
        <v>0</v>
      </c>
      <c r="M34" s="9">
        <f t="shared" si="4"/>
        <v>0</v>
      </c>
      <c r="N34" s="9">
        <f t="shared" si="4"/>
        <v>0</v>
      </c>
      <c r="O34" s="9">
        <f t="shared" si="4"/>
        <v>0</v>
      </c>
      <c r="P34" s="9">
        <f t="shared" si="4"/>
        <v>0</v>
      </c>
      <c r="Q34" s="9">
        <f t="shared" si="4"/>
        <v>0</v>
      </c>
      <c r="R34" s="9">
        <f t="shared" si="4"/>
        <v>0</v>
      </c>
      <c r="S34" s="9">
        <f t="shared" si="4"/>
        <v>0</v>
      </c>
      <c r="T34" s="9">
        <f t="shared" si="4"/>
        <v>0</v>
      </c>
      <c r="U34" s="9">
        <f t="shared" si="4"/>
        <v>0</v>
      </c>
      <c r="V34" s="9">
        <f t="shared" si="4"/>
        <v>0</v>
      </c>
      <c r="W34" s="9">
        <f t="shared" si="4"/>
        <v>0</v>
      </c>
      <c r="X34" s="9">
        <f t="shared" si="4"/>
        <v>0</v>
      </c>
      <c r="Y34" s="9">
        <f t="shared" si="4"/>
        <v>0</v>
      </c>
      <c r="Z34" s="9">
        <f t="shared" si="4"/>
        <v>0</v>
      </c>
      <c r="AA34" s="9">
        <f t="shared" si="4"/>
        <v>0</v>
      </c>
      <c r="AB34" s="9">
        <f t="shared" si="4"/>
        <v>0</v>
      </c>
      <c r="AC34" s="9">
        <f t="shared" si="4"/>
        <v>0</v>
      </c>
      <c r="AD34" s="9">
        <f t="shared" si="4"/>
        <v>0</v>
      </c>
      <c r="AE34" s="9">
        <f t="shared" si="4"/>
        <v>0</v>
      </c>
      <c r="AF34" s="9">
        <f t="shared" si="4"/>
        <v>0</v>
      </c>
      <c r="AG34" s="9">
        <f t="shared" si="4"/>
        <v>0</v>
      </c>
      <c r="AH34" s="9">
        <f t="shared" si="4"/>
        <v>0</v>
      </c>
      <c r="AI34" s="9">
        <f t="shared" si="4"/>
        <v>0</v>
      </c>
      <c r="AJ34" s="9">
        <f t="shared" si="4"/>
        <v>0</v>
      </c>
      <c r="AK34" s="9">
        <f t="shared" si="4"/>
        <v>0</v>
      </c>
      <c r="AL34" s="9">
        <f t="shared" si="4"/>
        <v>0</v>
      </c>
      <c r="AM34" s="9">
        <f t="shared" si="4"/>
        <v>0</v>
      </c>
      <c r="AN34" s="9">
        <f t="shared" si="4"/>
        <v>0</v>
      </c>
      <c r="AO34" s="9">
        <f t="shared" si="4"/>
        <v>0</v>
      </c>
      <c r="AP34" s="9">
        <f t="shared" si="4"/>
        <v>0</v>
      </c>
      <c r="AQ34" s="9">
        <f t="shared" si="4"/>
        <v>0</v>
      </c>
      <c r="AR34" s="9">
        <f t="shared" si="4"/>
        <v>0</v>
      </c>
      <c r="AS34" s="9">
        <f t="shared" si="4"/>
        <v>0</v>
      </c>
      <c r="AT34" s="9">
        <f t="shared" si="4"/>
        <v>0</v>
      </c>
      <c r="AU34" s="9">
        <f t="shared" si="4"/>
        <v>0</v>
      </c>
      <c r="AV34" s="9">
        <f t="shared" si="4"/>
        <v>0</v>
      </c>
      <c r="AW34" s="9">
        <f t="shared" si="4"/>
        <v>0</v>
      </c>
      <c r="AX34" s="9">
        <f t="shared" si="4"/>
        <v>0</v>
      </c>
      <c r="AY34" s="9">
        <f t="shared" si="4"/>
        <v>0</v>
      </c>
      <c r="AZ34" s="9">
        <f t="shared" si="4"/>
        <v>0</v>
      </c>
      <c r="BA34" s="9">
        <f t="shared" si="4"/>
        <v>0</v>
      </c>
      <c r="BB34" s="9">
        <f t="shared" si="4"/>
        <v>0</v>
      </c>
      <c r="BC34" s="9">
        <f t="shared" si="4"/>
        <v>5482.7577225000005</v>
      </c>
      <c r="BD34" s="9">
        <f t="shared" si="4"/>
        <v>0</v>
      </c>
      <c r="BE34" s="9">
        <f t="shared" si="4"/>
        <v>0</v>
      </c>
      <c r="BF34" s="9">
        <f t="shared" si="4"/>
        <v>0</v>
      </c>
      <c r="BG34" s="9">
        <f t="shared" si="4"/>
        <v>0</v>
      </c>
      <c r="BH34" s="9">
        <f t="shared" si="4"/>
        <v>0</v>
      </c>
      <c r="BI34" s="9">
        <f t="shared" si="4"/>
        <v>0</v>
      </c>
      <c r="BJ34" s="9">
        <f t="shared" si="4"/>
        <v>0</v>
      </c>
      <c r="BK34" s="9">
        <f t="shared" si="4"/>
        <v>0</v>
      </c>
      <c r="BL34" s="9">
        <f t="shared" si="4"/>
        <v>0</v>
      </c>
      <c r="BM34" s="9">
        <f t="shared" si="4"/>
        <v>0</v>
      </c>
      <c r="BN34" s="9">
        <f t="shared" si="4"/>
        <v>0</v>
      </c>
      <c r="BO34" s="9">
        <f t="shared" si="4"/>
        <v>0</v>
      </c>
    </row>
    <row r="35" spans="1:67" x14ac:dyDescent="0.25">
      <c r="A35" s="7" t="str">
        <f>'Rent Roll'!A7</f>
        <v>4949 B</v>
      </c>
      <c r="B35" s="7" t="str">
        <f>'Rent Roll'!B7</f>
        <v>VACANT</v>
      </c>
      <c r="C35" s="140">
        <f>'Rent Roll'!C7</f>
        <v>910</v>
      </c>
      <c r="D35" s="225">
        <f>IFERROR(MATCH("Relet",'Rent Roll'!V7:CD7,0),0)</f>
        <v>6</v>
      </c>
      <c r="E35" s="8" cm="1">
        <f t="array" ref="E35">IF(D35=0,0,('Rent Roll'!$N$7*'Rent Roll'!$S$7+(1-'Rent Roll'!$N$7)*'Rent Roll'!$R$7)*INDEX('Rent Roll'!V8:CD8,1,D35)*'Rent Roll'!$C$7*12*('Rent Roll'!$K$7/12))</f>
        <v>3276</v>
      </c>
      <c r="F35" s="14"/>
      <c r="G35" s="14"/>
      <c r="H35" s="9">
        <f>IF(H$33=$D$35,$E$35,0)</f>
        <v>0</v>
      </c>
      <c r="I35" s="9">
        <f t="shared" ref="I35:BO35" si="5">IF(I$33=$D$35,$E$35,0)</f>
        <v>0</v>
      </c>
      <c r="J35" s="9">
        <f t="shared" si="5"/>
        <v>0</v>
      </c>
      <c r="K35" s="9">
        <f t="shared" si="5"/>
        <v>0</v>
      </c>
      <c r="L35" s="9">
        <f t="shared" si="5"/>
        <v>0</v>
      </c>
      <c r="M35" s="9">
        <f t="shared" si="5"/>
        <v>3276</v>
      </c>
      <c r="N35" s="9">
        <f t="shared" si="5"/>
        <v>0</v>
      </c>
      <c r="O35" s="9">
        <f t="shared" si="5"/>
        <v>0</v>
      </c>
      <c r="P35" s="9">
        <f t="shared" si="5"/>
        <v>0</v>
      </c>
      <c r="Q35" s="9">
        <f t="shared" si="5"/>
        <v>0</v>
      </c>
      <c r="R35" s="9">
        <f t="shared" si="5"/>
        <v>0</v>
      </c>
      <c r="S35" s="9">
        <f t="shared" si="5"/>
        <v>0</v>
      </c>
      <c r="T35" s="9">
        <f t="shared" si="5"/>
        <v>0</v>
      </c>
      <c r="U35" s="9">
        <f t="shared" si="5"/>
        <v>0</v>
      </c>
      <c r="V35" s="9">
        <f t="shared" si="5"/>
        <v>0</v>
      </c>
      <c r="W35" s="9">
        <f t="shared" si="5"/>
        <v>0</v>
      </c>
      <c r="X35" s="9">
        <f t="shared" si="5"/>
        <v>0</v>
      </c>
      <c r="Y35" s="9">
        <f t="shared" si="5"/>
        <v>0</v>
      </c>
      <c r="Z35" s="9">
        <f t="shared" si="5"/>
        <v>0</v>
      </c>
      <c r="AA35" s="9">
        <f t="shared" si="5"/>
        <v>0</v>
      </c>
      <c r="AB35" s="9">
        <f t="shared" si="5"/>
        <v>0</v>
      </c>
      <c r="AC35" s="9">
        <f t="shared" si="5"/>
        <v>0</v>
      </c>
      <c r="AD35" s="9">
        <f t="shared" si="5"/>
        <v>0</v>
      </c>
      <c r="AE35" s="9">
        <f t="shared" si="5"/>
        <v>0</v>
      </c>
      <c r="AF35" s="9">
        <f t="shared" si="5"/>
        <v>0</v>
      </c>
      <c r="AG35" s="9">
        <f t="shared" si="5"/>
        <v>0</v>
      </c>
      <c r="AH35" s="9">
        <f t="shared" si="5"/>
        <v>0</v>
      </c>
      <c r="AI35" s="9">
        <f t="shared" si="5"/>
        <v>0</v>
      </c>
      <c r="AJ35" s="9">
        <f t="shared" si="5"/>
        <v>0</v>
      </c>
      <c r="AK35" s="9">
        <f t="shared" si="5"/>
        <v>0</v>
      </c>
      <c r="AL35" s="9">
        <f t="shared" si="5"/>
        <v>0</v>
      </c>
      <c r="AM35" s="9">
        <f t="shared" si="5"/>
        <v>0</v>
      </c>
      <c r="AN35" s="9">
        <f t="shared" si="5"/>
        <v>0</v>
      </c>
      <c r="AO35" s="9">
        <f t="shared" si="5"/>
        <v>0</v>
      </c>
      <c r="AP35" s="9">
        <f t="shared" si="5"/>
        <v>0</v>
      </c>
      <c r="AQ35" s="9">
        <f t="shared" si="5"/>
        <v>0</v>
      </c>
      <c r="AR35" s="9">
        <f t="shared" si="5"/>
        <v>0</v>
      </c>
      <c r="AS35" s="9">
        <f t="shared" si="5"/>
        <v>0</v>
      </c>
      <c r="AT35" s="9">
        <f t="shared" si="5"/>
        <v>0</v>
      </c>
      <c r="AU35" s="9">
        <f t="shared" si="5"/>
        <v>0</v>
      </c>
      <c r="AV35" s="9">
        <f t="shared" si="5"/>
        <v>0</v>
      </c>
      <c r="AW35" s="9">
        <f t="shared" si="5"/>
        <v>0</v>
      </c>
      <c r="AX35" s="9">
        <f t="shared" si="5"/>
        <v>0</v>
      </c>
      <c r="AY35" s="9">
        <f t="shared" si="5"/>
        <v>0</v>
      </c>
      <c r="AZ35" s="9">
        <f t="shared" si="5"/>
        <v>0</v>
      </c>
      <c r="BA35" s="9">
        <f t="shared" si="5"/>
        <v>0</v>
      </c>
      <c r="BB35" s="9">
        <f t="shared" si="5"/>
        <v>0</v>
      </c>
      <c r="BC35" s="9">
        <f t="shared" si="5"/>
        <v>0</v>
      </c>
      <c r="BD35" s="9">
        <f t="shared" si="5"/>
        <v>0</v>
      </c>
      <c r="BE35" s="9">
        <f t="shared" si="5"/>
        <v>0</v>
      </c>
      <c r="BF35" s="9">
        <f t="shared" si="5"/>
        <v>0</v>
      </c>
      <c r="BG35" s="9">
        <f t="shared" si="5"/>
        <v>0</v>
      </c>
      <c r="BH35" s="9">
        <f t="shared" si="5"/>
        <v>0</v>
      </c>
      <c r="BI35" s="9">
        <f t="shared" si="5"/>
        <v>0</v>
      </c>
      <c r="BJ35" s="9">
        <f t="shared" si="5"/>
        <v>0</v>
      </c>
      <c r="BK35" s="9">
        <f t="shared" si="5"/>
        <v>0</v>
      </c>
      <c r="BL35" s="9">
        <f t="shared" si="5"/>
        <v>0</v>
      </c>
      <c r="BM35" s="9">
        <f t="shared" si="5"/>
        <v>0</v>
      </c>
      <c r="BN35" s="9">
        <f t="shared" si="5"/>
        <v>0</v>
      </c>
      <c r="BO35" s="9">
        <f t="shared" si="5"/>
        <v>0</v>
      </c>
    </row>
    <row r="36" spans="1:67" x14ac:dyDescent="0.25">
      <c r="A36" s="7" t="str">
        <f>'Rent Roll'!A10</f>
        <v>4949 C</v>
      </c>
      <c r="B36" s="7" t="str">
        <f>'Rent Roll'!B10</f>
        <v>Circle Pizza</v>
      </c>
      <c r="C36" s="140">
        <f>'Rent Roll'!C10</f>
        <v>3620</v>
      </c>
      <c r="D36" s="225">
        <f>IFERROR(MATCH("Relet",'Rent Roll'!V10:CD10,0),0)</f>
        <v>60</v>
      </c>
      <c r="E36" s="8" cm="1">
        <f t="array" ref="E36">IF(D36=0,0,('Rent Roll'!$N$10*'Rent Roll'!$S$10+(1-'Rent Roll'!$N$10)*'Rent Roll'!$R$10)*INDEX('Rent Roll'!V11:CD11,1,D36)*'Rent Roll'!$C$10*12*('Rent Roll'!$K$10/12))</f>
        <v>9167.2692574499979</v>
      </c>
      <c r="F36" s="14"/>
      <c r="G36" s="14"/>
      <c r="H36" s="9">
        <f>IF(H$33=$D$36,$E$36,0)</f>
        <v>0</v>
      </c>
      <c r="I36" s="9">
        <f t="shared" ref="I36:BO36" si="6">IF(I$33=$D$36,$E$36,0)</f>
        <v>0</v>
      </c>
      <c r="J36" s="9">
        <f t="shared" si="6"/>
        <v>0</v>
      </c>
      <c r="K36" s="9">
        <f t="shared" si="6"/>
        <v>0</v>
      </c>
      <c r="L36" s="9">
        <f t="shared" si="6"/>
        <v>0</v>
      </c>
      <c r="M36" s="9">
        <f t="shared" si="6"/>
        <v>0</v>
      </c>
      <c r="N36" s="9">
        <f t="shared" si="6"/>
        <v>0</v>
      </c>
      <c r="O36" s="9">
        <f t="shared" si="6"/>
        <v>0</v>
      </c>
      <c r="P36" s="9">
        <f t="shared" si="6"/>
        <v>0</v>
      </c>
      <c r="Q36" s="9">
        <f t="shared" si="6"/>
        <v>0</v>
      </c>
      <c r="R36" s="9">
        <f t="shared" si="6"/>
        <v>0</v>
      </c>
      <c r="S36" s="9">
        <f t="shared" si="6"/>
        <v>0</v>
      </c>
      <c r="T36" s="9">
        <f t="shared" si="6"/>
        <v>0</v>
      </c>
      <c r="U36" s="9">
        <f t="shared" si="6"/>
        <v>0</v>
      </c>
      <c r="V36" s="9">
        <f t="shared" si="6"/>
        <v>0</v>
      </c>
      <c r="W36" s="9">
        <f t="shared" si="6"/>
        <v>0</v>
      </c>
      <c r="X36" s="9">
        <f t="shared" si="6"/>
        <v>0</v>
      </c>
      <c r="Y36" s="9">
        <f t="shared" si="6"/>
        <v>0</v>
      </c>
      <c r="Z36" s="9">
        <f t="shared" si="6"/>
        <v>0</v>
      </c>
      <c r="AA36" s="9">
        <f t="shared" si="6"/>
        <v>0</v>
      </c>
      <c r="AB36" s="9">
        <f t="shared" si="6"/>
        <v>0</v>
      </c>
      <c r="AC36" s="9">
        <f t="shared" si="6"/>
        <v>0</v>
      </c>
      <c r="AD36" s="9">
        <f t="shared" si="6"/>
        <v>0</v>
      </c>
      <c r="AE36" s="9">
        <f t="shared" si="6"/>
        <v>0</v>
      </c>
      <c r="AF36" s="9">
        <f t="shared" si="6"/>
        <v>0</v>
      </c>
      <c r="AG36" s="9">
        <f t="shared" si="6"/>
        <v>0</v>
      </c>
      <c r="AH36" s="9">
        <f t="shared" si="6"/>
        <v>0</v>
      </c>
      <c r="AI36" s="9">
        <f t="shared" si="6"/>
        <v>0</v>
      </c>
      <c r="AJ36" s="9">
        <f t="shared" si="6"/>
        <v>0</v>
      </c>
      <c r="AK36" s="9">
        <f t="shared" si="6"/>
        <v>0</v>
      </c>
      <c r="AL36" s="9">
        <f t="shared" si="6"/>
        <v>0</v>
      </c>
      <c r="AM36" s="9">
        <f t="shared" si="6"/>
        <v>0</v>
      </c>
      <c r="AN36" s="9">
        <f t="shared" si="6"/>
        <v>0</v>
      </c>
      <c r="AO36" s="9">
        <f t="shared" si="6"/>
        <v>0</v>
      </c>
      <c r="AP36" s="9">
        <f t="shared" si="6"/>
        <v>0</v>
      </c>
      <c r="AQ36" s="9">
        <f t="shared" si="6"/>
        <v>0</v>
      </c>
      <c r="AR36" s="9">
        <f t="shared" si="6"/>
        <v>0</v>
      </c>
      <c r="AS36" s="9">
        <f t="shared" si="6"/>
        <v>0</v>
      </c>
      <c r="AT36" s="9">
        <f t="shared" si="6"/>
        <v>0</v>
      </c>
      <c r="AU36" s="9">
        <f t="shared" si="6"/>
        <v>0</v>
      </c>
      <c r="AV36" s="9">
        <f t="shared" si="6"/>
        <v>0</v>
      </c>
      <c r="AW36" s="9">
        <f t="shared" si="6"/>
        <v>0</v>
      </c>
      <c r="AX36" s="9">
        <f t="shared" si="6"/>
        <v>0</v>
      </c>
      <c r="AY36" s="9">
        <f t="shared" si="6"/>
        <v>0</v>
      </c>
      <c r="AZ36" s="9">
        <f t="shared" si="6"/>
        <v>0</v>
      </c>
      <c r="BA36" s="9">
        <f t="shared" si="6"/>
        <v>0</v>
      </c>
      <c r="BB36" s="9">
        <f t="shared" si="6"/>
        <v>0</v>
      </c>
      <c r="BC36" s="9">
        <f t="shared" si="6"/>
        <v>0</v>
      </c>
      <c r="BD36" s="9">
        <f t="shared" si="6"/>
        <v>0</v>
      </c>
      <c r="BE36" s="9">
        <f t="shared" si="6"/>
        <v>0</v>
      </c>
      <c r="BF36" s="9">
        <f t="shared" si="6"/>
        <v>0</v>
      </c>
      <c r="BG36" s="9">
        <f t="shared" si="6"/>
        <v>0</v>
      </c>
      <c r="BH36" s="9">
        <f t="shared" si="6"/>
        <v>0</v>
      </c>
      <c r="BI36" s="9">
        <f t="shared" si="6"/>
        <v>0</v>
      </c>
      <c r="BJ36" s="9">
        <f t="shared" si="6"/>
        <v>0</v>
      </c>
      <c r="BK36" s="9">
        <f t="shared" si="6"/>
        <v>0</v>
      </c>
      <c r="BL36" s="9">
        <f t="shared" si="6"/>
        <v>0</v>
      </c>
      <c r="BM36" s="9">
        <f t="shared" si="6"/>
        <v>0</v>
      </c>
      <c r="BN36" s="9">
        <f t="shared" si="6"/>
        <v>0</v>
      </c>
      <c r="BO36" s="9">
        <f t="shared" si="6"/>
        <v>9167.2692574499979</v>
      </c>
    </row>
    <row r="37" spans="1:67" x14ac:dyDescent="0.25">
      <c r="A37" s="7" t="str">
        <f>'Rent Roll'!A13</f>
        <v>4949 D&amp;E</v>
      </c>
      <c r="B37" s="7" t="str">
        <f>'Rent Roll'!B13</f>
        <v>Silver Sake</v>
      </c>
      <c r="C37" s="140">
        <f>'Rent Roll'!C13</f>
        <v>1990</v>
      </c>
      <c r="D37" s="225">
        <f>IFERROR(MATCH("Relet",'Rent Roll'!V13:CD13,0),0)</f>
        <v>7</v>
      </c>
      <c r="E37" s="8">
        <f>IF(D37=0,0,('Rent Roll'!$N$13*'Rent Roll'!$S$13+(1-'Rent Roll'!$N$13)*'Rent Roll'!$R$13)*INDEX('Rent Roll'!V14:CD14,1,D37)*'Rent Roll'!$C$13*12*('Rent Roll'!$K$13/12))</f>
        <v>5373</v>
      </c>
      <c r="F37" s="14"/>
      <c r="G37" s="14"/>
      <c r="H37" s="9">
        <f>IF(H$33=$D$37,$E$37,0)</f>
        <v>0</v>
      </c>
      <c r="I37" s="9">
        <f t="shared" ref="I37:BO37" si="7">IF(I$33=$D$37,$E$37,0)</f>
        <v>0</v>
      </c>
      <c r="J37" s="9">
        <f t="shared" si="7"/>
        <v>0</v>
      </c>
      <c r="K37" s="9">
        <f t="shared" si="7"/>
        <v>0</v>
      </c>
      <c r="L37" s="9">
        <f t="shared" si="7"/>
        <v>0</v>
      </c>
      <c r="M37" s="9">
        <f t="shared" si="7"/>
        <v>0</v>
      </c>
      <c r="N37" s="9">
        <f t="shared" si="7"/>
        <v>5373</v>
      </c>
      <c r="O37" s="9">
        <f t="shared" si="7"/>
        <v>0</v>
      </c>
      <c r="P37" s="9">
        <f t="shared" si="7"/>
        <v>0</v>
      </c>
      <c r="Q37" s="9">
        <f t="shared" si="7"/>
        <v>0</v>
      </c>
      <c r="R37" s="9">
        <f t="shared" si="7"/>
        <v>0</v>
      </c>
      <c r="S37" s="9">
        <f t="shared" si="7"/>
        <v>0</v>
      </c>
      <c r="T37" s="9">
        <f t="shared" si="7"/>
        <v>0</v>
      </c>
      <c r="U37" s="9">
        <f t="shared" si="7"/>
        <v>0</v>
      </c>
      <c r="V37" s="9">
        <f t="shared" si="7"/>
        <v>0</v>
      </c>
      <c r="W37" s="9">
        <f t="shared" si="7"/>
        <v>0</v>
      </c>
      <c r="X37" s="9">
        <f t="shared" si="7"/>
        <v>0</v>
      </c>
      <c r="Y37" s="9">
        <f t="shared" si="7"/>
        <v>0</v>
      </c>
      <c r="Z37" s="9">
        <f t="shared" si="7"/>
        <v>0</v>
      </c>
      <c r="AA37" s="9">
        <f t="shared" si="7"/>
        <v>0</v>
      </c>
      <c r="AB37" s="9">
        <f t="shared" si="7"/>
        <v>0</v>
      </c>
      <c r="AC37" s="9">
        <f t="shared" si="7"/>
        <v>0</v>
      </c>
      <c r="AD37" s="9">
        <f t="shared" si="7"/>
        <v>0</v>
      </c>
      <c r="AE37" s="9">
        <f t="shared" si="7"/>
        <v>0</v>
      </c>
      <c r="AF37" s="9">
        <f t="shared" si="7"/>
        <v>0</v>
      </c>
      <c r="AG37" s="9">
        <f t="shared" si="7"/>
        <v>0</v>
      </c>
      <c r="AH37" s="9">
        <f t="shared" si="7"/>
        <v>0</v>
      </c>
      <c r="AI37" s="9">
        <f t="shared" si="7"/>
        <v>0</v>
      </c>
      <c r="AJ37" s="9">
        <f t="shared" si="7"/>
        <v>0</v>
      </c>
      <c r="AK37" s="9">
        <f t="shared" si="7"/>
        <v>0</v>
      </c>
      <c r="AL37" s="9">
        <f t="shared" si="7"/>
        <v>0</v>
      </c>
      <c r="AM37" s="9">
        <f t="shared" si="7"/>
        <v>0</v>
      </c>
      <c r="AN37" s="9">
        <f t="shared" si="7"/>
        <v>0</v>
      </c>
      <c r="AO37" s="9">
        <f t="shared" si="7"/>
        <v>0</v>
      </c>
      <c r="AP37" s="9">
        <f t="shared" si="7"/>
        <v>0</v>
      </c>
      <c r="AQ37" s="9">
        <f t="shared" si="7"/>
        <v>0</v>
      </c>
      <c r="AR37" s="9">
        <f t="shared" si="7"/>
        <v>0</v>
      </c>
      <c r="AS37" s="9">
        <f t="shared" si="7"/>
        <v>0</v>
      </c>
      <c r="AT37" s="9">
        <f t="shared" si="7"/>
        <v>0</v>
      </c>
      <c r="AU37" s="9">
        <f t="shared" si="7"/>
        <v>0</v>
      </c>
      <c r="AV37" s="9">
        <f t="shared" si="7"/>
        <v>0</v>
      </c>
      <c r="AW37" s="9">
        <f t="shared" si="7"/>
        <v>0</v>
      </c>
      <c r="AX37" s="9">
        <f t="shared" si="7"/>
        <v>0</v>
      </c>
      <c r="AY37" s="9">
        <f t="shared" si="7"/>
        <v>0</v>
      </c>
      <c r="AZ37" s="9">
        <f t="shared" si="7"/>
        <v>0</v>
      </c>
      <c r="BA37" s="9">
        <f t="shared" si="7"/>
        <v>0</v>
      </c>
      <c r="BB37" s="9">
        <f t="shared" si="7"/>
        <v>0</v>
      </c>
      <c r="BC37" s="9">
        <f t="shared" si="7"/>
        <v>0</v>
      </c>
      <c r="BD37" s="9">
        <f t="shared" si="7"/>
        <v>0</v>
      </c>
      <c r="BE37" s="9">
        <f t="shared" si="7"/>
        <v>0</v>
      </c>
      <c r="BF37" s="9">
        <f t="shared" si="7"/>
        <v>0</v>
      </c>
      <c r="BG37" s="9">
        <f t="shared" si="7"/>
        <v>0</v>
      </c>
      <c r="BH37" s="9">
        <f t="shared" si="7"/>
        <v>0</v>
      </c>
      <c r="BI37" s="9">
        <f t="shared" si="7"/>
        <v>0</v>
      </c>
      <c r="BJ37" s="9">
        <f t="shared" si="7"/>
        <v>0</v>
      </c>
      <c r="BK37" s="9">
        <f t="shared" si="7"/>
        <v>0</v>
      </c>
      <c r="BL37" s="9">
        <f t="shared" si="7"/>
        <v>0</v>
      </c>
      <c r="BM37" s="9">
        <f t="shared" si="7"/>
        <v>0</v>
      </c>
      <c r="BN37" s="9">
        <f t="shared" si="7"/>
        <v>0</v>
      </c>
      <c r="BO37" s="9">
        <f t="shared" si="7"/>
        <v>0</v>
      </c>
    </row>
    <row r="38" spans="1:67" x14ac:dyDescent="0.25">
      <c r="A38" s="7" t="str">
        <f>'Rent Roll'!A16</f>
        <v>4949 F</v>
      </c>
      <c r="B38" s="7" t="str">
        <f>'Rent Roll'!B16</f>
        <v>Waiel Merza</v>
      </c>
      <c r="C38" s="140">
        <f>'Rent Roll'!C16</f>
        <v>810</v>
      </c>
      <c r="D38" s="225">
        <f>IFERROR(MATCH("Relet",'Rent Roll'!V16:CD16,0),0)</f>
        <v>42</v>
      </c>
      <c r="E38" s="8" cm="1">
        <f t="array" ref="E38">IF(D38=0,0,('Rent Roll'!$N$16*'Rent Roll'!$S$16+(1-'Rent Roll'!$N$16)*'Rent Roll'!$R$16)*INDEX('Rent Roll'!V17:CD17,1,D38)*'Rent Roll'!$C$16*12*('Rent Roll'!$L$16/12))</f>
        <v>1194.8969745000002</v>
      </c>
      <c r="F38" s="14"/>
      <c r="G38" s="14"/>
      <c r="H38" s="9">
        <f>IF(H$33=$D$38,$E$38,0)</f>
        <v>0</v>
      </c>
      <c r="I38" s="9">
        <f t="shared" ref="I38:BO38" si="8">IF(I$33=$D$38,$E$38,0)</f>
        <v>0</v>
      </c>
      <c r="J38" s="9">
        <f t="shared" si="8"/>
        <v>0</v>
      </c>
      <c r="K38" s="9">
        <f t="shared" si="8"/>
        <v>0</v>
      </c>
      <c r="L38" s="9">
        <f t="shared" si="8"/>
        <v>0</v>
      </c>
      <c r="M38" s="9">
        <f t="shared" si="8"/>
        <v>0</v>
      </c>
      <c r="N38" s="9">
        <f t="shared" si="8"/>
        <v>0</v>
      </c>
      <c r="O38" s="9">
        <f t="shared" si="8"/>
        <v>0</v>
      </c>
      <c r="P38" s="9">
        <f t="shared" si="8"/>
        <v>0</v>
      </c>
      <c r="Q38" s="9">
        <f t="shared" si="8"/>
        <v>0</v>
      </c>
      <c r="R38" s="9">
        <f t="shared" si="8"/>
        <v>0</v>
      </c>
      <c r="S38" s="9">
        <f t="shared" si="8"/>
        <v>0</v>
      </c>
      <c r="T38" s="9">
        <f t="shared" si="8"/>
        <v>0</v>
      </c>
      <c r="U38" s="9">
        <f t="shared" si="8"/>
        <v>0</v>
      </c>
      <c r="V38" s="9">
        <f t="shared" si="8"/>
        <v>0</v>
      </c>
      <c r="W38" s="9">
        <f t="shared" si="8"/>
        <v>0</v>
      </c>
      <c r="X38" s="9">
        <f t="shared" si="8"/>
        <v>0</v>
      </c>
      <c r="Y38" s="9">
        <f t="shared" si="8"/>
        <v>0</v>
      </c>
      <c r="Z38" s="9">
        <f t="shared" si="8"/>
        <v>0</v>
      </c>
      <c r="AA38" s="9">
        <f t="shared" si="8"/>
        <v>0</v>
      </c>
      <c r="AB38" s="9">
        <f t="shared" si="8"/>
        <v>0</v>
      </c>
      <c r="AC38" s="9">
        <f t="shared" si="8"/>
        <v>0</v>
      </c>
      <c r="AD38" s="9">
        <f t="shared" si="8"/>
        <v>0</v>
      </c>
      <c r="AE38" s="9">
        <f t="shared" si="8"/>
        <v>0</v>
      </c>
      <c r="AF38" s="9">
        <f t="shared" si="8"/>
        <v>0</v>
      </c>
      <c r="AG38" s="9">
        <f t="shared" si="8"/>
        <v>0</v>
      </c>
      <c r="AH38" s="9">
        <f t="shared" si="8"/>
        <v>0</v>
      </c>
      <c r="AI38" s="9">
        <f t="shared" si="8"/>
        <v>0</v>
      </c>
      <c r="AJ38" s="9">
        <f t="shared" si="8"/>
        <v>0</v>
      </c>
      <c r="AK38" s="9">
        <f t="shared" si="8"/>
        <v>0</v>
      </c>
      <c r="AL38" s="9">
        <f t="shared" si="8"/>
        <v>0</v>
      </c>
      <c r="AM38" s="9">
        <f t="shared" si="8"/>
        <v>0</v>
      </c>
      <c r="AN38" s="9">
        <f t="shared" si="8"/>
        <v>0</v>
      </c>
      <c r="AO38" s="9">
        <f t="shared" si="8"/>
        <v>0</v>
      </c>
      <c r="AP38" s="9">
        <f t="shared" si="8"/>
        <v>0</v>
      </c>
      <c r="AQ38" s="9">
        <f t="shared" si="8"/>
        <v>0</v>
      </c>
      <c r="AR38" s="9">
        <f t="shared" si="8"/>
        <v>0</v>
      </c>
      <c r="AS38" s="9">
        <f t="shared" si="8"/>
        <v>0</v>
      </c>
      <c r="AT38" s="9">
        <f t="shared" si="8"/>
        <v>0</v>
      </c>
      <c r="AU38" s="9">
        <f t="shared" si="8"/>
        <v>0</v>
      </c>
      <c r="AV38" s="9">
        <f t="shared" si="8"/>
        <v>0</v>
      </c>
      <c r="AW38" s="9">
        <f t="shared" si="8"/>
        <v>1194.8969745000002</v>
      </c>
      <c r="AX38" s="9">
        <f t="shared" si="8"/>
        <v>0</v>
      </c>
      <c r="AY38" s="9">
        <f t="shared" si="8"/>
        <v>0</v>
      </c>
      <c r="AZ38" s="9">
        <f t="shared" si="8"/>
        <v>0</v>
      </c>
      <c r="BA38" s="9">
        <f t="shared" si="8"/>
        <v>0</v>
      </c>
      <c r="BB38" s="9">
        <f t="shared" si="8"/>
        <v>0</v>
      </c>
      <c r="BC38" s="9">
        <f t="shared" si="8"/>
        <v>0</v>
      </c>
      <c r="BD38" s="9">
        <f t="shared" si="8"/>
        <v>0</v>
      </c>
      <c r="BE38" s="9">
        <f t="shared" si="8"/>
        <v>0</v>
      </c>
      <c r="BF38" s="9">
        <f t="shared" si="8"/>
        <v>0</v>
      </c>
      <c r="BG38" s="9">
        <f t="shared" si="8"/>
        <v>0</v>
      </c>
      <c r="BH38" s="9">
        <f t="shared" si="8"/>
        <v>0</v>
      </c>
      <c r="BI38" s="9">
        <f t="shared" si="8"/>
        <v>0</v>
      </c>
      <c r="BJ38" s="9">
        <f t="shared" si="8"/>
        <v>0</v>
      </c>
      <c r="BK38" s="9">
        <f t="shared" si="8"/>
        <v>0</v>
      </c>
      <c r="BL38" s="9">
        <f t="shared" si="8"/>
        <v>0</v>
      </c>
      <c r="BM38" s="9">
        <f t="shared" si="8"/>
        <v>0</v>
      </c>
      <c r="BN38" s="9">
        <f t="shared" si="8"/>
        <v>0</v>
      </c>
      <c r="BO38" s="9">
        <f t="shared" si="8"/>
        <v>0</v>
      </c>
    </row>
    <row r="39" spans="1:67" x14ac:dyDescent="0.25">
      <c r="A39" s="7" t="str">
        <f>'Rent Roll'!A19</f>
        <v>4949 G</v>
      </c>
      <c r="B39" s="7" t="str">
        <f>'Rent Roll'!B19</f>
        <v>Cigarettes &amp; Gifts</v>
      </c>
      <c r="C39" s="140">
        <f>'Rent Roll'!C19</f>
        <v>810</v>
      </c>
      <c r="D39" s="225">
        <f>IFERROR(MATCH("Relet",'Rent Roll'!V19:CD19,0),0)</f>
        <v>7</v>
      </c>
      <c r="E39" s="8">
        <f>IF(D39=0,0,('Rent Roll'!$N$19*'Rent Roll'!$S$19+(1-'Rent Roll'!$N$19)*'Rent Roll'!$R$19)*INDEX('Rent Roll'!V20:CD20,1,D39)*'Rent Roll'!$C$19*12*('Rent Roll'!$K$19/12))</f>
        <v>1822.5</v>
      </c>
      <c r="F39" s="14"/>
      <c r="G39" s="14"/>
      <c r="H39" s="9">
        <f>IF(H$33=$D$39,$E$39,0)</f>
        <v>0</v>
      </c>
      <c r="I39" s="9">
        <f t="shared" ref="I39:BO39" si="9">IF(I$33=$D$39,$E$39,0)</f>
        <v>0</v>
      </c>
      <c r="J39" s="9">
        <f t="shared" si="9"/>
        <v>0</v>
      </c>
      <c r="K39" s="9">
        <f t="shared" si="9"/>
        <v>0</v>
      </c>
      <c r="L39" s="9">
        <f t="shared" si="9"/>
        <v>0</v>
      </c>
      <c r="M39" s="9">
        <f t="shared" si="9"/>
        <v>0</v>
      </c>
      <c r="N39" s="9">
        <f t="shared" si="9"/>
        <v>1822.5</v>
      </c>
      <c r="O39" s="9">
        <f t="shared" si="9"/>
        <v>0</v>
      </c>
      <c r="P39" s="9">
        <f t="shared" si="9"/>
        <v>0</v>
      </c>
      <c r="Q39" s="9">
        <f t="shared" si="9"/>
        <v>0</v>
      </c>
      <c r="R39" s="9">
        <f t="shared" si="9"/>
        <v>0</v>
      </c>
      <c r="S39" s="9">
        <f t="shared" si="9"/>
        <v>0</v>
      </c>
      <c r="T39" s="9">
        <f t="shared" si="9"/>
        <v>0</v>
      </c>
      <c r="U39" s="9">
        <f t="shared" si="9"/>
        <v>0</v>
      </c>
      <c r="V39" s="9">
        <f t="shared" si="9"/>
        <v>0</v>
      </c>
      <c r="W39" s="9">
        <f t="shared" si="9"/>
        <v>0</v>
      </c>
      <c r="X39" s="9">
        <f t="shared" si="9"/>
        <v>0</v>
      </c>
      <c r="Y39" s="9">
        <f t="shared" si="9"/>
        <v>0</v>
      </c>
      <c r="Z39" s="9">
        <f t="shared" si="9"/>
        <v>0</v>
      </c>
      <c r="AA39" s="9">
        <f t="shared" si="9"/>
        <v>0</v>
      </c>
      <c r="AB39" s="9">
        <f t="shared" si="9"/>
        <v>0</v>
      </c>
      <c r="AC39" s="9">
        <f t="shared" si="9"/>
        <v>0</v>
      </c>
      <c r="AD39" s="9">
        <f t="shared" si="9"/>
        <v>0</v>
      </c>
      <c r="AE39" s="9">
        <f t="shared" si="9"/>
        <v>0</v>
      </c>
      <c r="AF39" s="9">
        <f t="shared" si="9"/>
        <v>0</v>
      </c>
      <c r="AG39" s="9">
        <f t="shared" si="9"/>
        <v>0</v>
      </c>
      <c r="AH39" s="9">
        <f t="shared" si="9"/>
        <v>0</v>
      </c>
      <c r="AI39" s="9">
        <f t="shared" si="9"/>
        <v>0</v>
      </c>
      <c r="AJ39" s="9">
        <f t="shared" si="9"/>
        <v>0</v>
      </c>
      <c r="AK39" s="9">
        <f t="shared" si="9"/>
        <v>0</v>
      </c>
      <c r="AL39" s="9">
        <f t="shared" si="9"/>
        <v>0</v>
      </c>
      <c r="AM39" s="9">
        <f t="shared" si="9"/>
        <v>0</v>
      </c>
      <c r="AN39" s="9">
        <f t="shared" si="9"/>
        <v>0</v>
      </c>
      <c r="AO39" s="9">
        <f t="shared" si="9"/>
        <v>0</v>
      </c>
      <c r="AP39" s="9">
        <f t="shared" si="9"/>
        <v>0</v>
      </c>
      <c r="AQ39" s="9">
        <f t="shared" si="9"/>
        <v>0</v>
      </c>
      <c r="AR39" s="9">
        <f t="shared" si="9"/>
        <v>0</v>
      </c>
      <c r="AS39" s="9">
        <f t="shared" si="9"/>
        <v>0</v>
      </c>
      <c r="AT39" s="9">
        <f t="shared" si="9"/>
        <v>0</v>
      </c>
      <c r="AU39" s="9">
        <f t="shared" si="9"/>
        <v>0</v>
      </c>
      <c r="AV39" s="9">
        <f t="shared" si="9"/>
        <v>0</v>
      </c>
      <c r="AW39" s="9">
        <f t="shared" si="9"/>
        <v>0</v>
      </c>
      <c r="AX39" s="9">
        <f t="shared" si="9"/>
        <v>0</v>
      </c>
      <c r="AY39" s="9">
        <f t="shared" si="9"/>
        <v>0</v>
      </c>
      <c r="AZ39" s="9">
        <f t="shared" si="9"/>
        <v>0</v>
      </c>
      <c r="BA39" s="9">
        <f t="shared" si="9"/>
        <v>0</v>
      </c>
      <c r="BB39" s="9">
        <f t="shared" si="9"/>
        <v>0</v>
      </c>
      <c r="BC39" s="9">
        <f t="shared" si="9"/>
        <v>0</v>
      </c>
      <c r="BD39" s="9">
        <f t="shared" si="9"/>
        <v>0</v>
      </c>
      <c r="BE39" s="9">
        <f t="shared" si="9"/>
        <v>0</v>
      </c>
      <c r="BF39" s="9">
        <f t="shared" si="9"/>
        <v>0</v>
      </c>
      <c r="BG39" s="9">
        <f t="shared" si="9"/>
        <v>0</v>
      </c>
      <c r="BH39" s="9">
        <f t="shared" si="9"/>
        <v>0</v>
      </c>
      <c r="BI39" s="9">
        <f t="shared" si="9"/>
        <v>0</v>
      </c>
      <c r="BJ39" s="9">
        <f t="shared" si="9"/>
        <v>0</v>
      </c>
      <c r="BK39" s="9">
        <f t="shared" si="9"/>
        <v>0</v>
      </c>
      <c r="BL39" s="9">
        <f t="shared" si="9"/>
        <v>0</v>
      </c>
      <c r="BM39" s="9">
        <f t="shared" si="9"/>
        <v>0</v>
      </c>
      <c r="BN39" s="9">
        <f t="shared" si="9"/>
        <v>0</v>
      </c>
      <c r="BO39" s="9">
        <f t="shared" si="9"/>
        <v>0</v>
      </c>
    </row>
    <row r="40" spans="1:67" x14ac:dyDescent="0.25">
      <c r="A40" s="7" t="str">
        <f>'Rent Roll'!A22</f>
        <v>4949 H</v>
      </c>
      <c r="B40" s="7" t="str">
        <f>'Rent Roll'!B22</f>
        <v>Brittany Hair &amp; Nails</v>
      </c>
      <c r="C40" s="140">
        <f>'Rent Roll'!C22</f>
        <v>810</v>
      </c>
      <c r="D40" s="225">
        <f>IFERROR(MATCH("Relet",'Rent Roll'!V22:CD22,0),0)</f>
        <v>7</v>
      </c>
      <c r="E40" s="8">
        <f>IF(D40=0,0,('Rent Roll'!$N$22*'Rent Roll'!$S$22+(1-'Rent Roll'!$N$22)*'Rent Roll'!$R$22)*INDEX('Rent Roll'!V23:CD23,1,D40)*'Rent Roll'!$C$22*12*('Rent Roll'!$K$22/12))</f>
        <v>1822.5</v>
      </c>
      <c r="F40" s="14"/>
      <c r="G40" s="14"/>
      <c r="H40" s="9">
        <f>IF(H$33=$D$40,$E$40,0)</f>
        <v>0</v>
      </c>
      <c r="I40" s="9">
        <f t="shared" ref="I40:BO40" si="10">IF(I$33=$D$40,$E$40,0)</f>
        <v>0</v>
      </c>
      <c r="J40" s="9">
        <f t="shared" si="10"/>
        <v>0</v>
      </c>
      <c r="K40" s="9">
        <f t="shared" si="10"/>
        <v>0</v>
      </c>
      <c r="L40" s="9">
        <f t="shared" si="10"/>
        <v>0</v>
      </c>
      <c r="M40" s="9">
        <f t="shared" si="10"/>
        <v>0</v>
      </c>
      <c r="N40" s="9">
        <f t="shared" si="10"/>
        <v>1822.5</v>
      </c>
      <c r="O40" s="9">
        <f t="shared" si="10"/>
        <v>0</v>
      </c>
      <c r="P40" s="9">
        <f t="shared" si="10"/>
        <v>0</v>
      </c>
      <c r="Q40" s="9">
        <f t="shared" si="10"/>
        <v>0</v>
      </c>
      <c r="R40" s="9">
        <f t="shared" si="10"/>
        <v>0</v>
      </c>
      <c r="S40" s="9">
        <f t="shared" si="10"/>
        <v>0</v>
      </c>
      <c r="T40" s="9">
        <f t="shared" si="10"/>
        <v>0</v>
      </c>
      <c r="U40" s="9">
        <f t="shared" si="10"/>
        <v>0</v>
      </c>
      <c r="V40" s="9">
        <f t="shared" si="10"/>
        <v>0</v>
      </c>
      <c r="W40" s="9">
        <f t="shared" si="10"/>
        <v>0</v>
      </c>
      <c r="X40" s="9">
        <f t="shared" si="10"/>
        <v>0</v>
      </c>
      <c r="Y40" s="9">
        <f t="shared" si="10"/>
        <v>0</v>
      </c>
      <c r="Z40" s="9">
        <f t="shared" si="10"/>
        <v>0</v>
      </c>
      <c r="AA40" s="9">
        <f t="shared" si="10"/>
        <v>0</v>
      </c>
      <c r="AB40" s="9">
        <f t="shared" si="10"/>
        <v>0</v>
      </c>
      <c r="AC40" s="9">
        <f t="shared" si="10"/>
        <v>0</v>
      </c>
      <c r="AD40" s="9">
        <f t="shared" si="10"/>
        <v>0</v>
      </c>
      <c r="AE40" s="9">
        <f t="shared" si="10"/>
        <v>0</v>
      </c>
      <c r="AF40" s="9">
        <f t="shared" si="10"/>
        <v>0</v>
      </c>
      <c r="AG40" s="9">
        <f t="shared" si="10"/>
        <v>0</v>
      </c>
      <c r="AH40" s="9">
        <f t="shared" si="10"/>
        <v>0</v>
      </c>
      <c r="AI40" s="9">
        <f t="shared" si="10"/>
        <v>0</v>
      </c>
      <c r="AJ40" s="9">
        <f t="shared" si="10"/>
        <v>0</v>
      </c>
      <c r="AK40" s="9">
        <f t="shared" si="10"/>
        <v>0</v>
      </c>
      <c r="AL40" s="9">
        <f t="shared" si="10"/>
        <v>0</v>
      </c>
      <c r="AM40" s="9">
        <f t="shared" si="10"/>
        <v>0</v>
      </c>
      <c r="AN40" s="9">
        <f t="shared" si="10"/>
        <v>0</v>
      </c>
      <c r="AO40" s="9">
        <f t="shared" si="10"/>
        <v>0</v>
      </c>
      <c r="AP40" s="9">
        <f t="shared" si="10"/>
        <v>0</v>
      </c>
      <c r="AQ40" s="9">
        <f t="shared" si="10"/>
        <v>0</v>
      </c>
      <c r="AR40" s="9">
        <f t="shared" si="10"/>
        <v>0</v>
      </c>
      <c r="AS40" s="9">
        <f t="shared" si="10"/>
        <v>0</v>
      </c>
      <c r="AT40" s="9">
        <f t="shared" si="10"/>
        <v>0</v>
      </c>
      <c r="AU40" s="9">
        <f t="shared" si="10"/>
        <v>0</v>
      </c>
      <c r="AV40" s="9">
        <f t="shared" si="10"/>
        <v>0</v>
      </c>
      <c r="AW40" s="9">
        <f t="shared" si="10"/>
        <v>0</v>
      </c>
      <c r="AX40" s="9">
        <f t="shared" si="10"/>
        <v>0</v>
      </c>
      <c r="AY40" s="9">
        <f t="shared" si="10"/>
        <v>0</v>
      </c>
      <c r="AZ40" s="9">
        <f t="shared" si="10"/>
        <v>0</v>
      </c>
      <c r="BA40" s="9">
        <f t="shared" si="10"/>
        <v>0</v>
      </c>
      <c r="BB40" s="9">
        <f t="shared" si="10"/>
        <v>0</v>
      </c>
      <c r="BC40" s="9">
        <f t="shared" si="10"/>
        <v>0</v>
      </c>
      <c r="BD40" s="9">
        <f t="shared" si="10"/>
        <v>0</v>
      </c>
      <c r="BE40" s="9">
        <f t="shared" si="10"/>
        <v>0</v>
      </c>
      <c r="BF40" s="9">
        <f t="shared" si="10"/>
        <v>0</v>
      </c>
      <c r="BG40" s="9">
        <f t="shared" si="10"/>
        <v>0</v>
      </c>
      <c r="BH40" s="9">
        <f t="shared" si="10"/>
        <v>0</v>
      </c>
      <c r="BI40" s="9">
        <f t="shared" si="10"/>
        <v>0</v>
      </c>
      <c r="BJ40" s="9">
        <f t="shared" si="10"/>
        <v>0</v>
      </c>
      <c r="BK40" s="9">
        <f t="shared" si="10"/>
        <v>0</v>
      </c>
      <c r="BL40" s="9">
        <f t="shared" si="10"/>
        <v>0</v>
      </c>
      <c r="BM40" s="9">
        <f t="shared" si="10"/>
        <v>0</v>
      </c>
      <c r="BN40" s="9">
        <f t="shared" si="10"/>
        <v>0</v>
      </c>
      <c r="BO40" s="9">
        <f t="shared" si="10"/>
        <v>0</v>
      </c>
    </row>
    <row r="41" spans="1:67" x14ac:dyDescent="0.25">
      <c r="A41" s="7" t="str">
        <f>'Rent Roll'!A25</f>
        <v>4949 I</v>
      </c>
      <c r="B41" s="7" t="str">
        <f>'Rent Roll'!B25</f>
        <v>Madeville Hair Salon</v>
      </c>
      <c r="C41" s="140">
        <f>'Rent Roll'!C25</f>
        <v>810</v>
      </c>
      <c r="D41" s="225">
        <f>IFERROR(MATCH("Relet",'Rent Roll'!V25:CD25,0),0)</f>
        <v>7</v>
      </c>
      <c r="E41" s="8">
        <f>IF(D41=0,0,('Rent Roll'!$N$25*'Rent Roll'!$S$25+(1-'Rent Roll'!$N$25)*'Rent Roll'!$R$25)*INDEX('Rent Roll'!V26:CD26,1,D41)*'Rent Roll'!$C$25*12*('Rent Roll'!$K$25/12))</f>
        <v>2187</v>
      </c>
      <c r="F41" s="14"/>
      <c r="G41" s="14"/>
      <c r="H41" s="9">
        <f>IF(H$33=$D$41,$E$41,0)</f>
        <v>0</v>
      </c>
      <c r="I41" s="9">
        <f t="shared" ref="I41:BO41" si="11">IF(I$33=$D$41,$E$41,0)</f>
        <v>0</v>
      </c>
      <c r="J41" s="9">
        <f t="shared" si="11"/>
        <v>0</v>
      </c>
      <c r="K41" s="9">
        <f t="shared" si="11"/>
        <v>0</v>
      </c>
      <c r="L41" s="9">
        <f t="shared" si="11"/>
        <v>0</v>
      </c>
      <c r="M41" s="9">
        <f t="shared" si="11"/>
        <v>0</v>
      </c>
      <c r="N41" s="9">
        <f t="shared" si="11"/>
        <v>2187</v>
      </c>
      <c r="O41" s="9">
        <f t="shared" si="11"/>
        <v>0</v>
      </c>
      <c r="P41" s="9">
        <f t="shared" si="11"/>
        <v>0</v>
      </c>
      <c r="Q41" s="9">
        <f t="shared" si="11"/>
        <v>0</v>
      </c>
      <c r="R41" s="9">
        <f t="shared" si="11"/>
        <v>0</v>
      </c>
      <c r="S41" s="9">
        <f t="shared" si="11"/>
        <v>0</v>
      </c>
      <c r="T41" s="9">
        <f t="shared" si="11"/>
        <v>0</v>
      </c>
      <c r="U41" s="9">
        <f t="shared" si="11"/>
        <v>0</v>
      </c>
      <c r="V41" s="9">
        <f t="shared" si="11"/>
        <v>0</v>
      </c>
      <c r="W41" s="9">
        <f t="shared" si="11"/>
        <v>0</v>
      </c>
      <c r="X41" s="9">
        <f t="shared" si="11"/>
        <v>0</v>
      </c>
      <c r="Y41" s="9">
        <f t="shared" si="11"/>
        <v>0</v>
      </c>
      <c r="Z41" s="9">
        <f t="shared" si="11"/>
        <v>0</v>
      </c>
      <c r="AA41" s="9">
        <f t="shared" si="11"/>
        <v>0</v>
      </c>
      <c r="AB41" s="9">
        <f t="shared" si="11"/>
        <v>0</v>
      </c>
      <c r="AC41" s="9">
        <f t="shared" si="11"/>
        <v>0</v>
      </c>
      <c r="AD41" s="9">
        <f t="shared" si="11"/>
        <v>0</v>
      </c>
      <c r="AE41" s="9">
        <f t="shared" si="11"/>
        <v>0</v>
      </c>
      <c r="AF41" s="9">
        <f t="shared" si="11"/>
        <v>0</v>
      </c>
      <c r="AG41" s="9">
        <f t="shared" si="11"/>
        <v>0</v>
      </c>
      <c r="AH41" s="9">
        <f t="shared" si="11"/>
        <v>0</v>
      </c>
      <c r="AI41" s="9">
        <f t="shared" si="11"/>
        <v>0</v>
      </c>
      <c r="AJ41" s="9">
        <f t="shared" si="11"/>
        <v>0</v>
      </c>
      <c r="AK41" s="9">
        <f t="shared" si="11"/>
        <v>0</v>
      </c>
      <c r="AL41" s="9">
        <f t="shared" si="11"/>
        <v>0</v>
      </c>
      <c r="AM41" s="9">
        <f t="shared" si="11"/>
        <v>0</v>
      </c>
      <c r="AN41" s="9">
        <f t="shared" si="11"/>
        <v>0</v>
      </c>
      <c r="AO41" s="9">
        <f t="shared" si="11"/>
        <v>0</v>
      </c>
      <c r="AP41" s="9">
        <f t="shared" si="11"/>
        <v>0</v>
      </c>
      <c r="AQ41" s="9">
        <f t="shared" si="11"/>
        <v>0</v>
      </c>
      <c r="AR41" s="9">
        <f t="shared" si="11"/>
        <v>0</v>
      </c>
      <c r="AS41" s="9">
        <f t="shared" si="11"/>
        <v>0</v>
      </c>
      <c r="AT41" s="9">
        <f t="shared" si="11"/>
        <v>0</v>
      </c>
      <c r="AU41" s="9">
        <f t="shared" si="11"/>
        <v>0</v>
      </c>
      <c r="AV41" s="9">
        <f t="shared" si="11"/>
        <v>0</v>
      </c>
      <c r="AW41" s="9">
        <f t="shared" si="11"/>
        <v>0</v>
      </c>
      <c r="AX41" s="9">
        <f t="shared" si="11"/>
        <v>0</v>
      </c>
      <c r="AY41" s="9">
        <f t="shared" si="11"/>
        <v>0</v>
      </c>
      <c r="AZ41" s="9">
        <f t="shared" si="11"/>
        <v>0</v>
      </c>
      <c r="BA41" s="9">
        <f t="shared" si="11"/>
        <v>0</v>
      </c>
      <c r="BB41" s="9">
        <f t="shared" si="11"/>
        <v>0</v>
      </c>
      <c r="BC41" s="9">
        <f t="shared" si="11"/>
        <v>0</v>
      </c>
      <c r="BD41" s="9">
        <f t="shared" si="11"/>
        <v>0</v>
      </c>
      <c r="BE41" s="9">
        <f t="shared" si="11"/>
        <v>0</v>
      </c>
      <c r="BF41" s="9">
        <f t="shared" si="11"/>
        <v>0</v>
      </c>
      <c r="BG41" s="9">
        <f t="shared" si="11"/>
        <v>0</v>
      </c>
      <c r="BH41" s="9">
        <f t="shared" si="11"/>
        <v>0</v>
      </c>
      <c r="BI41" s="9">
        <f t="shared" si="11"/>
        <v>0</v>
      </c>
      <c r="BJ41" s="9">
        <f t="shared" si="11"/>
        <v>0</v>
      </c>
      <c r="BK41" s="9">
        <f t="shared" si="11"/>
        <v>0</v>
      </c>
      <c r="BL41" s="9">
        <f t="shared" si="11"/>
        <v>0</v>
      </c>
      <c r="BM41" s="9">
        <f t="shared" si="11"/>
        <v>0</v>
      </c>
      <c r="BN41" s="9">
        <f t="shared" si="11"/>
        <v>0</v>
      </c>
      <c r="BO41" s="9">
        <f t="shared" si="11"/>
        <v>0</v>
      </c>
    </row>
    <row r="42" spans="1:67" x14ac:dyDescent="0.25">
      <c r="A42" s="7" t="str">
        <f>'Rent Roll'!A28</f>
        <v>4949 J</v>
      </c>
      <c r="B42" s="7" t="str">
        <f>'Rent Roll'!B28</f>
        <v>VACANT</v>
      </c>
      <c r="C42" s="140">
        <f>'Rent Roll'!C28</f>
        <v>1350</v>
      </c>
      <c r="D42" s="225">
        <f>IFERROR(MATCH("Relet",'Rent Roll'!V28:CD28,0),0)</f>
        <v>6</v>
      </c>
      <c r="E42" s="8">
        <f>IF(D42=0,0,('Rent Roll'!$N$28*'Rent Roll'!$S$28+(1-'Rent Roll'!$N$28)*'Rent Roll'!$R$28)*INDEX('Rent Roll'!V29:CD29,1,D42)*'Rent Roll'!$C$28*12*('Rent Roll'!$K$28/12))</f>
        <v>4860</v>
      </c>
      <c r="F42" s="14"/>
      <c r="G42" s="14"/>
      <c r="H42" s="9">
        <f>IF(H$33=$D$42,$E$42,0)</f>
        <v>0</v>
      </c>
      <c r="I42" s="9">
        <f t="shared" ref="I42:BO42" si="12">IF(I$33=$D$42,$E$42,0)</f>
        <v>0</v>
      </c>
      <c r="J42" s="9">
        <f t="shared" si="12"/>
        <v>0</v>
      </c>
      <c r="K42" s="9">
        <f t="shared" si="12"/>
        <v>0</v>
      </c>
      <c r="L42" s="9">
        <f t="shared" si="12"/>
        <v>0</v>
      </c>
      <c r="M42" s="9">
        <f t="shared" si="12"/>
        <v>4860</v>
      </c>
      <c r="N42" s="9">
        <f t="shared" si="12"/>
        <v>0</v>
      </c>
      <c r="O42" s="9">
        <f t="shared" si="12"/>
        <v>0</v>
      </c>
      <c r="P42" s="9">
        <f t="shared" si="12"/>
        <v>0</v>
      </c>
      <c r="Q42" s="9">
        <f t="shared" si="12"/>
        <v>0</v>
      </c>
      <c r="R42" s="9">
        <f t="shared" si="12"/>
        <v>0</v>
      </c>
      <c r="S42" s="9">
        <f t="shared" si="12"/>
        <v>0</v>
      </c>
      <c r="T42" s="9">
        <f t="shared" si="12"/>
        <v>0</v>
      </c>
      <c r="U42" s="9">
        <f t="shared" si="12"/>
        <v>0</v>
      </c>
      <c r="V42" s="9">
        <f t="shared" si="12"/>
        <v>0</v>
      </c>
      <c r="W42" s="9">
        <f t="shared" si="12"/>
        <v>0</v>
      </c>
      <c r="X42" s="9">
        <f t="shared" si="12"/>
        <v>0</v>
      </c>
      <c r="Y42" s="9">
        <f t="shared" si="12"/>
        <v>0</v>
      </c>
      <c r="Z42" s="9">
        <f t="shared" si="12"/>
        <v>0</v>
      </c>
      <c r="AA42" s="9">
        <f t="shared" si="12"/>
        <v>0</v>
      </c>
      <c r="AB42" s="9">
        <f t="shared" si="12"/>
        <v>0</v>
      </c>
      <c r="AC42" s="9">
        <f t="shared" si="12"/>
        <v>0</v>
      </c>
      <c r="AD42" s="9">
        <f t="shared" si="12"/>
        <v>0</v>
      </c>
      <c r="AE42" s="9">
        <f t="shared" si="12"/>
        <v>0</v>
      </c>
      <c r="AF42" s="9">
        <f t="shared" si="12"/>
        <v>0</v>
      </c>
      <c r="AG42" s="9">
        <f t="shared" si="12"/>
        <v>0</v>
      </c>
      <c r="AH42" s="9">
        <f t="shared" si="12"/>
        <v>0</v>
      </c>
      <c r="AI42" s="9">
        <f t="shared" si="12"/>
        <v>0</v>
      </c>
      <c r="AJ42" s="9">
        <f t="shared" si="12"/>
        <v>0</v>
      </c>
      <c r="AK42" s="9">
        <f t="shared" si="12"/>
        <v>0</v>
      </c>
      <c r="AL42" s="9">
        <f t="shared" si="12"/>
        <v>0</v>
      </c>
      <c r="AM42" s="9">
        <f t="shared" si="12"/>
        <v>0</v>
      </c>
      <c r="AN42" s="9">
        <f t="shared" si="12"/>
        <v>0</v>
      </c>
      <c r="AO42" s="9">
        <f t="shared" si="12"/>
        <v>0</v>
      </c>
      <c r="AP42" s="9">
        <f t="shared" si="12"/>
        <v>0</v>
      </c>
      <c r="AQ42" s="9">
        <f t="shared" si="12"/>
        <v>0</v>
      </c>
      <c r="AR42" s="9">
        <f t="shared" si="12"/>
        <v>0</v>
      </c>
      <c r="AS42" s="9">
        <f t="shared" si="12"/>
        <v>0</v>
      </c>
      <c r="AT42" s="9">
        <f t="shared" si="12"/>
        <v>0</v>
      </c>
      <c r="AU42" s="9">
        <f t="shared" si="12"/>
        <v>0</v>
      </c>
      <c r="AV42" s="9">
        <f t="shared" si="12"/>
        <v>0</v>
      </c>
      <c r="AW42" s="9">
        <f t="shared" si="12"/>
        <v>0</v>
      </c>
      <c r="AX42" s="9">
        <f t="shared" si="12"/>
        <v>0</v>
      </c>
      <c r="AY42" s="9">
        <f t="shared" si="12"/>
        <v>0</v>
      </c>
      <c r="AZ42" s="9">
        <f t="shared" si="12"/>
        <v>0</v>
      </c>
      <c r="BA42" s="9">
        <f t="shared" si="12"/>
        <v>0</v>
      </c>
      <c r="BB42" s="9">
        <f t="shared" si="12"/>
        <v>0</v>
      </c>
      <c r="BC42" s="9">
        <f t="shared" si="12"/>
        <v>0</v>
      </c>
      <c r="BD42" s="9">
        <f t="shared" si="12"/>
        <v>0</v>
      </c>
      <c r="BE42" s="9">
        <f t="shared" si="12"/>
        <v>0</v>
      </c>
      <c r="BF42" s="9">
        <f t="shared" si="12"/>
        <v>0</v>
      </c>
      <c r="BG42" s="9">
        <f t="shared" si="12"/>
        <v>0</v>
      </c>
      <c r="BH42" s="9">
        <f t="shared" si="12"/>
        <v>0</v>
      </c>
      <c r="BI42" s="9">
        <f t="shared" si="12"/>
        <v>0</v>
      </c>
      <c r="BJ42" s="9">
        <f t="shared" si="12"/>
        <v>0</v>
      </c>
      <c r="BK42" s="9">
        <f t="shared" si="12"/>
        <v>0</v>
      </c>
      <c r="BL42" s="9">
        <f t="shared" si="12"/>
        <v>0</v>
      </c>
      <c r="BM42" s="9">
        <f t="shared" si="12"/>
        <v>0</v>
      </c>
      <c r="BN42" s="9">
        <f t="shared" si="12"/>
        <v>0</v>
      </c>
      <c r="BO42" s="9">
        <f t="shared" si="12"/>
        <v>0</v>
      </c>
    </row>
    <row r="43" spans="1:67" x14ac:dyDescent="0.25">
      <c r="A43" s="7" t="str">
        <f>'Rent Roll'!A31</f>
        <v>4955 A</v>
      </c>
      <c r="B43" s="7" t="str">
        <f>'Rent Roll'!B31</f>
        <v>Sharing &amp; Caring</v>
      </c>
      <c r="C43" s="140">
        <f>'Rent Roll'!C31</f>
        <v>1350</v>
      </c>
      <c r="D43" s="225">
        <f>IFERROR(MATCH("Relet",'Rent Roll'!V31:CD31,0),0)</f>
        <v>7</v>
      </c>
      <c r="E43" s="8">
        <f>IF(D43=0,0,('Rent Roll'!$N$31*'Rent Roll'!$S$31+(1-'Rent Roll'!$N$31)*'Rent Roll'!$R$31)*INDEX('Rent Roll'!V32:CD32,1,D43)*'Rent Roll'!$C$31*12*('Rent Roll'!$K$31/12))</f>
        <v>3645</v>
      </c>
      <c r="F43" s="14"/>
      <c r="G43" s="14"/>
      <c r="H43" s="9">
        <f>IF(H$33=$D$43,$E$43,0)</f>
        <v>0</v>
      </c>
      <c r="I43" s="9">
        <f t="shared" ref="I43:BO43" si="13">IF(I$33=$D$43,$E$43,0)</f>
        <v>0</v>
      </c>
      <c r="J43" s="9">
        <f t="shared" si="13"/>
        <v>0</v>
      </c>
      <c r="K43" s="9">
        <f t="shared" si="13"/>
        <v>0</v>
      </c>
      <c r="L43" s="9">
        <f t="shared" si="13"/>
        <v>0</v>
      </c>
      <c r="M43" s="9">
        <f t="shared" si="13"/>
        <v>0</v>
      </c>
      <c r="N43" s="9">
        <f t="shared" si="13"/>
        <v>3645</v>
      </c>
      <c r="O43" s="9">
        <f t="shared" si="13"/>
        <v>0</v>
      </c>
      <c r="P43" s="9">
        <f t="shared" si="13"/>
        <v>0</v>
      </c>
      <c r="Q43" s="9">
        <f t="shared" si="13"/>
        <v>0</v>
      </c>
      <c r="R43" s="9">
        <f t="shared" si="13"/>
        <v>0</v>
      </c>
      <c r="S43" s="9">
        <f t="shared" si="13"/>
        <v>0</v>
      </c>
      <c r="T43" s="9">
        <f t="shared" si="13"/>
        <v>0</v>
      </c>
      <c r="U43" s="9">
        <f t="shared" si="13"/>
        <v>0</v>
      </c>
      <c r="V43" s="9">
        <f t="shared" si="13"/>
        <v>0</v>
      </c>
      <c r="W43" s="9">
        <f t="shared" si="13"/>
        <v>0</v>
      </c>
      <c r="X43" s="9">
        <f t="shared" si="13"/>
        <v>0</v>
      </c>
      <c r="Y43" s="9">
        <f t="shared" si="13"/>
        <v>0</v>
      </c>
      <c r="Z43" s="9">
        <f t="shared" si="13"/>
        <v>0</v>
      </c>
      <c r="AA43" s="9">
        <f t="shared" si="13"/>
        <v>0</v>
      </c>
      <c r="AB43" s="9">
        <f t="shared" si="13"/>
        <v>0</v>
      </c>
      <c r="AC43" s="9">
        <f t="shared" si="13"/>
        <v>0</v>
      </c>
      <c r="AD43" s="9">
        <f t="shared" si="13"/>
        <v>0</v>
      </c>
      <c r="AE43" s="9">
        <f t="shared" si="13"/>
        <v>0</v>
      </c>
      <c r="AF43" s="9">
        <f t="shared" si="13"/>
        <v>0</v>
      </c>
      <c r="AG43" s="9">
        <f t="shared" si="13"/>
        <v>0</v>
      </c>
      <c r="AH43" s="9">
        <f t="shared" si="13"/>
        <v>0</v>
      </c>
      <c r="AI43" s="9">
        <f t="shared" si="13"/>
        <v>0</v>
      </c>
      <c r="AJ43" s="9">
        <f t="shared" si="13"/>
        <v>0</v>
      </c>
      <c r="AK43" s="9">
        <f t="shared" si="13"/>
        <v>0</v>
      </c>
      <c r="AL43" s="9">
        <f t="shared" si="13"/>
        <v>0</v>
      </c>
      <c r="AM43" s="9">
        <f t="shared" si="13"/>
        <v>0</v>
      </c>
      <c r="AN43" s="9">
        <f t="shared" si="13"/>
        <v>0</v>
      </c>
      <c r="AO43" s="9">
        <f t="shared" si="13"/>
        <v>0</v>
      </c>
      <c r="AP43" s="9">
        <f t="shared" si="13"/>
        <v>0</v>
      </c>
      <c r="AQ43" s="9">
        <f t="shared" si="13"/>
        <v>0</v>
      </c>
      <c r="AR43" s="9">
        <f t="shared" si="13"/>
        <v>0</v>
      </c>
      <c r="AS43" s="9">
        <f t="shared" si="13"/>
        <v>0</v>
      </c>
      <c r="AT43" s="9">
        <f t="shared" si="13"/>
        <v>0</v>
      </c>
      <c r="AU43" s="9">
        <f t="shared" si="13"/>
        <v>0</v>
      </c>
      <c r="AV43" s="9">
        <f t="shared" si="13"/>
        <v>0</v>
      </c>
      <c r="AW43" s="9">
        <f t="shared" si="13"/>
        <v>0</v>
      </c>
      <c r="AX43" s="9">
        <f t="shared" si="13"/>
        <v>0</v>
      </c>
      <c r="AY43" s="9">
        <f t="shared" si="13"/>
        <v>0</v>
      </c>
      <c r="AZ43" s="9">
        <f t="shared" si="13"/>
        <v>0</v>
      </c>
      <c r="BA43" s="9">
        <f t="shared" si="13"/>
        <v>0</v>
      </c>
      <c r="BB43" s="9">
        <f t="shared" si="13"/>
        <v>0</v>
      </c>
      <c r="BC43" s="9">
        <f t="shared" si="13"/>
        <v>0</v>
      </c>
      <c r="BD43" s="9">
        <f t="shared" si="13"/>
        <v>0</v>
      </c>
      <c r="BE43" s="9">
        <f t="shared" si="13"/>
        <v>0</v>
      </c>
      <c r="BF43" s="9">
        <f t="shared" si="13"/>
        <v>0</v>
      </c>
      <c r="BG43" s="9">
        <f t="shared" si="13"/>
        <v>0</v>
      </c>
      <c r="BH43" s="9">
        <f t="shared" si="13"/>
        <v>0</v>
      </c>
      <c r="BI43" s="9">
        <f t="shared" si="13"/>
        <v>0</v>
      </c>
      <c r="BJ43" s="9">
        <f t="shared" si="13"/>
        <v>0</v>
      </c>
      <c r="BK43" s="9">
        <f t="shared" si="13"/>
        <v>0</v>
      </c>
      <c r="BL43" s="9">
        <f t="shared" si="13"/>
        <v>0</v>
      </c>
      <c r="BM43" s="9">
        <f t="shared" si="13"/>
        <v>0</v>
      </c>
      <c r="BN43" s="9">
        <f t="shared" si="13"/>
        <v>0</v>
      </c>
      <c r="BO43" s="9">
        <f t="shared" si="13"/>
        <v>0</v>
      </c>
    </row>
    <row r="44" spans="1:67" x14ac:dyDescent="0.25">
      <c r="A44" s="7" t="str">
        <f>'Rent Roll'!A34</f>
        <v>4955 B</v>
      </c>
      <c r="B44" s="7" t="str">
        <f>'Rent Roll'!B34</f>
        <v>Spoteless Cleaners</v>
      </c>
      <c r="C44" s="140">
        <f>'Rent Roll'!C34</f>
        <v>1310</v>
      </c>
      <c r="D44" s="225">
        <f>IFERROR(MATCH("Relet",'Rent Roll'!V34:CD34,0),0)</f>
        <v>7</v>
      </c>
      <c r="E44" s="8">
        <f>IF(D44=0,0,('Rent Roll'!$N$34*'Rent Roll'!$S$34+(1-'Rent Roll'!$N$34)*'Rent Roll'!$R$34)*INDEX('Rent Roll'!V35:CD35,1,D44)*'Rent Roll'!$C$34*12*('Rent Roll'!$K$34/12))</f>
        <v>3537</v>
      </c>
      <c r="F44" s="14"/>
      <c r="G44" s="14"/>
      <c r="H44" s="9">
        <f>IF(H$33=$D$44,$E$44,0)</f>
        <v>0</v>
      </c>
      <c r="I44" s="9">
        <f t="shared" ref="I44:BO44" si="14">IF(I$33=$D$44,$E$44,0)</f>
        <v>0</v>
      </c>
      <c r="J44" s="9">
        <f t="shared" si="14"/>
        <v>0</v>
      </c>
      <c r="K44" s="9">
        <f t="shared" si="14"/>
        <v>0</v>
      </c>
      <c r="L44" s="9">
        <f t="shared" si="14"/>
        <v>0</v>
      </c>
      <c r="M44" s="9">
        <f t="shared" si="14"/>
        <v>0</v>
      </c>
      <c r="N44" s="9">
        <f t="shared" si="14"/>
        <v>3537</v>
      </c>
      <c r="O44" s="9">
        <f t="shared" si="14"/>
        <v>0</v>
      </c>
      <c r="P44" s="9">
        <f t="shared" si="14"/>
        <v>0</v>
      </c>
      <c r="Q44" s="9">
        <f t="shared" si="14"/>
        <v>0</v>
      </c>
      <c r="R44" s="9">
        <f t="shared" si="14"/>
        <v>0</v>
      </c>
      <c r="S44" s="9">
        <f t="shared" si="14"/>
        <v>0</v>
      </c>
      <c r="T44" s="9">
        <f t="shared" si="14"/>
        <v>0</v>
      </c>
      <c r="U44" s="9">
        <f t="shared" si="14"/>
        <v>0</v>
      </c>
      <c r="V44" s="9">
        <f t="shared" si="14"/>
        <v>0</v>
      </c>
      <c r="W44" s="9">
        <f t="shared" si="14"/>
        <v>0</v>
      </c>
      <c r="X44" s="9">
        <f t="shared" si="14"/>
        <v>0</v>
      </c>
      <c r="Y44" s="9">
        <f t="shared" si="14"/>
        <v>0</v>
      </c>
      <c r="Z44" s="9">
        <f t="shared" si="14"/>
        <v>0</v>
      </c>
      <c r="AA44" s="9">
        <f t="shared" si="14"/>
        <v>0</v>
      </c>
      <c r="AB44" s="9">
        <f t="shared" si="14"/>
        <v>0</v>
      </c>
      <c r="AC44" s="9">
        <f t="shared" si="14"/>
        <v>0</v>
      </c>
      <c r="AD44" s="9">
        <f t="shared" si="14"/>
        <v>0</v>
      </c>
      <c r="AE44" s="9">
        <f t="shared" si="14"/>
        <v>0</v>
      </c>
      <c r="AF44" s="9">
        <f t="shared" si="14"/>
        <v>0</v>
      </c>
      <c r="AG44" s="9">
        <f t="shared" si="14"/>
        <v>0</v>
      </c>
      <c r="AH44" s="9">
        <f t="shared" si="14"/>
        <v>0</v>
      </c>
      <c r="AI44" s="9">
        <f t="shared" si="14"/>
        <v>0</v>
      </c>
      <c r="AJ44" s="9">
        <f t="shared" si="14"/>
        <v>0</v>
      </c>
      <c r="AK44" s="9">
        <f t="shared" si="14"/>
        <v>0</v>
      </c>
      <c r="AL44" s="9">
        <f t="shared" si="14"/>
        <v>0</v>
      </c>
      <c r="AM44" s="9">
        <f t="shared" si="14"/>
        <v>0</v>
      </c>
      <c r="AN44" s="9">
        <f t="shared" si="14"/>
        <v>0</v>
      </c>
      <c r="AO44" s="9">
        <f t="shared" si="14"/>
        <v>0</v>
      </c>
      <c r="AP44" s="9">
        <f t="shared" si="14"/>
        <v>0</v>
      </c>
      <c r="AQ44" s="9">
        <f t="shared" si="14"/>
        <v>0</v>
      </c>
      <c r="AR44" s="9">
        <f t="shared" si="14"/>
        <v>0</v>
      </c>
      <c r="AS44" s="9">
        <f t="shared" si="14"/>
        <v>0</v>
      </c>
      <c r="AT44" s="9">
        <f t="shared" si="14"/>
        <v>0</v>
      </c>
      <c r="AU44" s="9">
        <f t="shared" si="14"/>
        <v>0</v>
      </c>
      <c r="AV44" s="9">
        <f t="shared" si="14"/>
        <v>0</v>
      </c>
      <c r="AW44" s="9">
        <f t="shared" si="14"/>
        <v>0</v>
      </c>
      <c r="AX44" s="9">
        <f t="shared" si="14"/>
        <v>0</v>
      </c>
      <c r="AY44" s="9">
        <f t="shared" si="14"/>
        <v>0</v>
      </c>
      <c r="AZ44" s="9">
        <f t="shared" si="14"/>
        <v>0</v>
      </c>
      <c r="BA44" s="9">
        <f t="shared" si="14"/>
        <v>0</v>
      </c>
      <c r="BB44" s="9">
        <f t="shared" si="14"/>
        <v>0</v>
      </c>
      <c r="BC44" s="9">
        <f t="shared" si="14"/>
        <v>0</v>
      </c>
      <c r="BD44" s="9">
        <f t="shared" si="14"/>
        <v>0</v>
      </c>
      <c r="BE44" s="9">
        <f t="shared" si="14"/>
        <v>0</v>
      </c>
      <c r="BF44" s="9">
        <f t="shared" si="14"/>
        <v>0</v>
      </c>
      <c r="BG44" s="9">
        <f t="shared" si="14"/>
        <v>0</v>
      </c>
      <c r="BH44" s="9">
        <f t="shared" si="14"/>
        <v>0</v>
      </c>
      <c r="BI44" s="9">
        <f t="shared" si="14"/>
        <v>0</v>
      </c>
      <c r="BJ44" s="9">
        <f t="shared" si="14"/>
        <v>0</v>
      </c>
      <c r="BK44" s="9">
        <f t="shared" si="14"/>
        <v>0</v>
      </c>
      <c r="BL44" s="9">
        <f t="shared" si="14"/>
        <v>0</v>
      </c>
      <c r="BM44" s="9">
        <f t="shared" si="14"/>
        <v>0</v>
      </c>
      <c r="BN44" s="9">
        <f t="shared" si="14"/>
        <v>0</v>
      </c>
      <c r="BO44" s="9">
        <f t="shared" si="14"/>
        <v>0</v>
      </c>
    </row>
    <row r="45" spans="1:67" x14ac:dyDescent="0.25">
      <c r="A45" s="7" t="str">
        <f>'Rent Roll'!A37</f>
        <v>4955 C</v>
      </c>
      <c r="B45" s="7" t="str">
        <f>'Rent Roll'!B37</f>
        <v>Dawn's Pet Palace</v>
      </c>
      <c r="C45" s="140">
        <f>'Rent Roll'!C37</f>
        <v>1880</v>
      </c>
      <c r="D45" s="225">
        <f>IFERROR(MATCH("Relet",'Rent Roll'!V37:CD37,0),0)</f>
        <v>37</v>
      </c>
      <c r="E45" s="8">
        <f>IF(D45=0,0,('Rent Roll'!$N$37*'Rent Roll'!$S$37+(1-'Rent Roll'!$N$37)*'Rent Roll'!$R$37)*INDEX('Rent Roll'!V38:CD38,1,D45)*'Rent Roll'!$C$37*12*('Rent Roll'!$K$37/12))</f>
        <v>4622.2352099999998</v>
      </c>
      <c r="F45" s="14"/>
      <c r="G45" s="14"/>
      <c r="H45" s="9">
        <f>IF(H$33=$D$45,$E$45,0)</f>
        <v>0</v>
      </c>
      <c r="I45" s="9">
        <f t="shared" ref="I45:BO45" si="15">IF(I$33=$D$45,$E$45,0)</f>
        <v>0</v>
      </c>
      <c r="J45" s="9">
        <f t="shared" si="15"/>
        <v>0</v>
      </c>
      <c r="K45" s="9">
        <f t="shared" si="15"/>
        <v>0</v>
      </c>
      <c r="L45" s="9">
        <f t="shared" si="15"/>
        <v>0</v>
      </c>
      <c r="M45" s="9">
        <f t="shared" si="15"/>
        <v>0</v>
      </c>
      <c r="N45" s="9">
        <f t="shared" si="15"/>
        <v>0</v>
      </c>
      <c r="O45" s="9">
        <f t="shared" si="15"/>
        <v>0</v>
      </c>
      <c r="P45" s="9">
        <f t="shared" si="15"/>
        <v>0</v>
      </c>
      <c r="Q45" s="9">
        <f t="shared" si="15"/>
        <v>0</v>
      </c>
      <c r="R45" s="9">
        <f t="shared" si="15"/>
        <v>0</v>
      </c>
      <c r="S45" s="9">
        <f t="shared" si="15"/>
        <v>0</v>
      </c>
      <c r="T45" s="9">
        <f t="shared" si="15"/>
        <v>0</v>
      </c>
      <c r="U45" s="9">
        <f t="shared" si="15"/>
        <v>0</v>
      </c>
      <c r="V45" s="9">
        <f t="shared" si="15"/>
        <v>0</v>
      </c>
      <c r="W45" s="9">
        <f t="shared" si="15"/>
        <v>0</v>
      </c>
      <c r="X45" s="9">
        <f t="shared" si="15"/>
        <v>0</v>
      </c>
      <c r="Y45" s="9">
        <f t="shared" si="15"/>
        <v>0</v>
      </c>
      <c r="Z45" s="9">
        <f t="shared" si="15"/>
        <v>0</v>
      </c>
      <c r="AA45" s="9">
        <f t="shared" si="15"/>
        <v>0</v>
      </c>
      <c r="AB45" s="9">
        <f t="shared" si="15"/>
        <v>0</v>
      </c>
      <c r="AC45" s="9">
        <f t="shared" si="15"/>
        <v>0</v>
      </c>
      <c r="AD45" s="9">
        <f t="shared" si="15"/>
        <v>0</v>
      </c>
      <c r="AE45" s="9">
        <f t="shared" si="15"/>
        <v>0</v>
      </c>
      <c r="AF45" s="9">
        <f t="shared" si="15"/>
        <v>0</v>
      </c>
      <c r="AG45" s="9">
        <f t="shared" si="15"/>
        <v>0</v>
      </c>
      <c r="AH45" s="9">
        <f t="shared" si="15"/>
        <v>0</v>
      </c>
      <c r="AI45" s="9">
        <f t="shared" si="15"/>
        <v>0</v>
      </c>
      <c r="AJ45" s="9">
        <f t="shared" si="15"/>
        <v>0</v>
      </c>
      <c r="AK45" s="9">
        <f t="shared" si="15"/>
        <v>0</v>
      </c>
      <c r="AL45" s="9">
        <f t="shared" si="15"/>
        <v>0</v>
      </c>
      <c r="AM45" s="9">
        <f t="shared" si="15"/>
        <v>0</v>
      </c>
      <c r="AN45" s="9">
        <f t="shared" si="15"/>
        <v>0</v>
      </c>
      <c r="AO45" s="9">
        <f t="shared" si="15"/>
        <v>0</v>
      </c>
      <c r="AP45" s="9">
        <f t="shared" si="15"/>
        <v>0</v>
      </c>
      <c r="AQ45" s="9">
        <f t="shared" si="15"/>
        <v>0</v>
      </c>
      <c r="AR45" s="9">
        <f t="shared" si="15"/>
        <v>4622.2352099999998</v>
      </c>
      <c r="AS45" s="9">
        <f t="shared" si="15"/>
        <v>0</v>
      </c>
      <c r="AT45" s="9">
        <f t="shared" si="15"/>
        <v>0</v>
      </c>
      <c r="AU45" s="9">
        <f t="shared" si="15"/>
        <v>0</v>
      </c>
      <c r="AV45" s="9">
        <f t="shared" si="15"/>
        <v>0</v>
      </c>
      <c r="AW45" s="9">
        <f t="shared" si="15"/>
        <v>0</v>
      </c>
      <c r="AX45" s="9">
        <f t="shared" si="15"/>
        <v>0</v>
      </c>
      <c r="AY45" s="9">
        <f t="shared" si="15"/>
        <v>0</v>
      </c>
      <c r="AZ45" s="9">
        <f t="shared" si="15"/>
        <v>0</v>
      </c>
      <c r="BA45" s="9">
        <f t="shared" si="15"/>
        <v>0</v>
      </c>
      <c r="BB45" s="9">
        <f t="shared" si="15"/>
        <v>0</v>
      </c>
      <c r="BC45" s="9">
        <f t="shared" si="15"/>
        <v>0</v>
      </c>
      <c r="BD45" s="9">
        <f t="shared" si="15"/>
        <v>0</v>
      </c>
      <c r="BE45" s="9">
        <f t="shared" si="15"/>
        <v>0</v>
      </c>
      <c r="BF45" s="9">
        <f t="shared" si="15"/>
        <v>0</v>
      </c>
      <c r="BG45" s="9">
        <f t="shared" si="15"/>
        <v>0</v>
      </c>
      <c r="BH45" s="9">
        <f t="shared" si="15"/>
        <v>0</v>
      </c>
      <c r="BI45" s="9">
        <f t="shared" si="15"/>
        <v>0</v>
      </c>
      <c r="BJ45" s="9">
        <f t="shared" si="15"/>
        <v>0</v>
      </c>
      <c r="BK45" s="9">
        <f t="shared" si="15"/>
        <v>0</v>
      </c>
      <c r="BL45" s="9">
        <f t="shared" si="15"/>
        <v>0</v>
      </c>
      <c r="BM45" s="9">
        <f t="shared" si="15"/>
        <v>0</v>
      </c>
      <c r="BN45" s="9">
        <f t="shared" si="15"/>
        <v>0</v>
      </c>
      <c r="BO45" s="9">
        <f t="shared" si="15"/>
        <v>0</v>
      </c>
    </row>
    <row r="46" spans="1:67" x14ac:dyDescent="0.25">
      <c r="A46" s="89"/>
      <c r="B46" s="89" t="s">
        <v>242</v>
      </c>
      <c r="C46" s="89"/>
      <c r="D46" s="89"/>
      <c r="E46" s="92"/>
      <c r="F46" s="89"/>
      <c r="G46" s="89"/>
      <c r="H46" s="92">
        <f t="shared" ref="H46:AM46" si="16">SUM(H34:H45)</f>
        <v>0</v>
      </c>
      <c r="I46" s="92">
        <f t="shared" si="16"/>
        <v>0</v>
      </c>
      <c r="J46" s="92">
        <f t="shared" si="16"/>
        <v>0</v>
      </c>
      <c r="K46" s="92">
        <f t="shared" si="16"/>
        <v>0</v>
      </c>
      <c r="L46" s="92">
        <f t="shared" si="16"/>
        <v>0</v>
      </c>
      <c r="M46" s="92">
        <f t="shared" si="16"/>
        <v>8136</v>
      </c>
      <c r="N46" s="92">
        <f t="shared" si="16"/>
        <v>18387</v>
      </c>
      <c r="O46" s="92">
        <f t="shared" si="16"/>
        <v>0</v>
      </c>
      <c r="P46" s="92">
        <f t="shared" si="16"/>
        <v>0</v>
      </c>
      <c r="Q46" s="92">
        <f t="shared" si="16"/>
        <v>0</v>
      </c>
      <c r="R46" s="92">
        <f t="shared" si="16"/>
        <v>0</v>
      </c>
      <c r="S46" s="92">
        <f t="shared" si="16"/>
        <v>0</v>
      </c>
      <c r="T46" s="92">
        <f t="shared" si="16"/>
        <v>0</v>
      </c>
      <c r="U46" s="92">
        <f t="shared" si="16"/>
        <v>0</v>
      </c>
      <c r="V46" s="92">
        <f t="shared" si="16"/>
        <v>0</v>
      </c>
      <c r="W46" s="92">
        <f t="shared" si="16"/>
        <v>0</v>
      </c>
      <c r="X46" s="92">
        <f t="shared" si="16"/>
        <v>0</v>
      </c>
      <c r="Y46" s="92">
        <f t="shared" si="16"/>
        <v>0</v>
      </c>
      <c r="Z46" s="92">
        <f t="shared" si="16"/>
        <v>0</v>
      </c>
      <c r="AA46" s="92">
        <f t="shared" si="16"/>
        <v>0</v>
      </c>
      <c r="AB46" s="92">
        <f t="shared" si="16"/>
        <v>0</v>
      </c>
      <c r="AC46" s="92">
        <f t="shared" si="16"/>
        <v>0</v>
      </c>
      <c r="AD46" s="92">
        <f t="shared" si="16"/>
        <v>0</v>
      </c>
      <c r="AE46" s="92">
        <f t="shared" si="16"/>
        <v>0</v>
      </c>
      <c r="AF46" s="92">
        <f t="shared" si="16"/>
        <v>0</v>
      </c>
      <c r="AG46" s="92">
        <f t="shared" si="16"/>
        <v>0</v>
      </c>
      <c r="AH46" s="92">
        <f t="shared" si="16"/>
        <v>0</v>
      </c>
      <c r="AI46" s="92">
        <f t="shared" si="16"/>
        <v>0</v>
      </c>
      <c r="AJ46" s="92">
        <f t="shared" si="16"/>
        <v>0</v>
      </c>
      <c r="AK46" s="92">
        <f t="shared" si="16"/>
        <v>0</v>
      </c>
      <c r="AL46" s="92">
        <f t="shared" si="16"/>
        <v>0</v>
      </c>
      <c r="AM46" s="92">
        <f t="shared" si="16"/>
        <v>0</v>
      </c>
      <c r="AN46" s="92">
        <f t="shared" ref="AN46:BO46" si="17">SUM(AN34:AN45)</f>
        <v>0</v>
      </c>
      <c r="AO46" s="92">
        <f t="shared" si="17"/>
        <v>0</v>
      </c>
      <c r="AP46" s="92">
        <f t="shared" si="17"/>
        <v>0</v>
      </c>
      <c r="AQ46" s="92">
        <f t="shared" si="17"/>
        <v>0</v>
      </c>
      <c r="AR46" s="92">
        <f t="shared" si="17"/>
        <v>4622.2352099999998</v>
      </c>
      <c r="AS46" s="92">
        <f t="shared" si="17"/>
        <v>0</v>
      </c>
      <c r="AT46" s="92">
        <f t="shared" si="17"/>
        <v>0</v>
      </c>
      <c r="AU46" s="92">
        <f t="shared" si="17"/>
        <v>0</v>
      </c>
      <c r="AV46" s="92">
        <f t="shared" si="17"/>
        <v>0</v>
      </c>
      <c r="AW46" s="92">
        <f t="shared" si="17"/>
        <v>1194.8969745000002</v>
      </c>
      <c r="AX46" s="92">
        <f t="shared" si="17"/>
        <v>0</v>
      </c>
      <c r="AY46" s="92">
        <f t="shared" si="17"/>
        <v>0</v>
      </c>
      <c r="AZ46" s="92">
        <f t="shared" si="17"/>
        <v>0</v>
      </c>
      <c r="BA46" s="92">
        <f t="shared" si="17"/>
        <v>0</v>
      </c>
      <c r="BB46" s="92">
        <f t="shared" si="17"/>
        <v>0</v>
      </c>
      <c r="BC46" s="92">
        <f t="shared" si="17"/>
        <v>5482.7577225000005</v>
      </c>
      <c r="BD46" s="92">
        <f t="shared" si="17"/>
        <v>0</v>
      </c>
      <c r="BE46" s="92">
        <f t="shared" si="17"/>
        <v>0</v>
      </c>
      <c r="BF46" s="92">
        <f t="shared" si="17"/>
        <v>0</v>
      </c>
      <c r="BG46" s="92">
        <f t="shared" si="17"/>
        <v>0</v>
      </c>
      <c r="BH46" s="92">
        <f t="shared" si="17"/>
        <v>0</v>
      </c>
      <c r="BI46" s="92">
        <f t="shared" si="17"/>
        <v>0</v>
      </c>
      <c r="BJ46" s="92">
        <f t="shared" si="17"/>
        <v>0</v>
      </c>
      <c r="BK46" s="92">
        <f t="shared" si="17"/>
        <v>0</v>
      </c>
      <c r="BL46" s="92">
        <f t="shared" si="17"/>
        <v>0</v>
      </c>
      <c r="BM46" s="92">
        <f t="shared" si="17"/>
        <v>0</v>
      </c>
      <c r="BN46" s="92">
        <f t="shared" si="17"/>
        <v>0</v>
      </c>
      <c r="BO46" s="92">
        <f t="shared" si="17"/>
        <v>9167.2692574499979</v>
      </c>
    </row>
    <row r="47" spans="1:67" x14ac:dyDescent="0.25">
      <c r="E47" s="134"/>
    </row>
    <row r="48" spans="1:67" x14ac:dyDescent="0.25">
      <c r="A48" s="142"/>
      <c r="B48" s="142" t="s">
        <v>243</v>
      </c>
      <c r="C48" s="142"/>
      <c r="D48" s="142"/>
      <c r="E48" s="143"/>
      <c r="F48" s="142"/>
      <c r="G48" s="142"/>
      <c r="H48" s="143">
        <f t="shared" ref="H48:AM48" si="18">H13+H30+H46</f>
        <v>25000</v>
      </c>
      <c r="I48" s="143">
        <f t="shared" si="18"/>
        <v>25000</v>
      </c>
      <c r="J48" s="143">
        <f t="shared" si="18"/>
        <v>25000</v>
      </c>
      <c r="K48" s="143">
        <f t="shared" si="18"/>
        <v>25000</v>
      </c>
      <c r="L48" s="143">
        <f t="shared" si="18"/>
        <v>25000</v>
      </c>
      <c r="M48" s="143">
        <f t="shared" si="18"/>
        <v>89636</v>
      </c>
      <c r="N48" s="143">
        <f t="shared" si="18"/>
        <v>116487</v>
      </c>
      <c r="O48" s="143">
        <f t="shared" si="18"/>
        <v>0</v>
      </c>
      <c r="P48" s="143">
        <f t="shared" si="18"/>
        <v>0</v>
      </c>
      <c r="Q48" s="143">
        <f t="shared" si="18"/>
        <v>0</v>
      </c>
      <c r="R48" s="143">
        <f t="shared" si="18"/>
        <v>0</v>
      </c>
      <c r="S48" s="143">
        <f t="shared" si="18"/>
        <v>0</v>
      </c>
      <c r="T48" s="143">
        <f t="shared" si="18"/>
        <v>0</v>
      </c>
      <c r="U48" s="143">
        <f t="shared" si="18"/>
        <v>0</v>
      </c>
      <c r="V48" s="143">
        <f t="shared" si="18"/>
        <v>0</v>
      </c>
      <c r="W48" s="143">
        <f t="shared" si="18"/>
        <v>0</v>
      </c>
      <c r="X48" s="143">
        <f t="shared" si="18"/>
        <v>0</v>
      </c>
      <c r="Y48" s="143">
        <f t="shared" si="18"/>
        <v>0</v>
      </c>
      <c r="Z48" s="143">
        <f t="shared" si="18"/>
        <v>0</v>
      </c>
      <c r="AA48" s="143">
        <f t="shared" si="18"/>
        <v>0</v>
      </c>
      <c r="AB48" s="143">
        <f t="shared" si="18"/>
        <v>0</v>
      </c>
      <c r="AC48" s="143">
        <f t="shared" si="18"/>
        <v>0</v>
      </c>
      <c r="AD48" s="143">
        <f t="shared" si="18"/>
        <v>0</v>
      </c>
      <c r="AE48" s="143">
        <f t="shared" si="18"/>
        <v>0</v>
      </c>
      <c r="AF48" s="143">
        <f t="shared" si="18"/>
        <v>0</v>
      </c>
      <c r="AG48" s="143">
        <f t="shared" si="18"/>
        <v>0</v>
      </c>
      <c r="AH48" s="143">
        <f t="shared" si="18"/>
        <v>0</v>
      </c>
      <c r="AI48" s="143">
        <f t="shared" si="18"/>
        <v>0</v>
      </c>
      <c r="AJ48" s="143">
        <f t="shared" si="18"/>
        <v>0</v>
      </c>
      <c r="AK48" s="143">
        <f t="shared" si="18"/>
        <v>0</v>
      </c>
      <c r="AL48" s="143">
        <f t="shared" si="18"/>
        <v>0</v>
      </c>
      <c r="AM48" s="143">
        <f t="shared" si="18"/>
        <v>0</v>
      </c>
      <c r="AN48" s="143">
        <f t="shared" ref="AN48:BO48" si="19">AN13+AN30+AN46</f>
        <v>0</v>
      </c>
      <c r="AO48" s="143">
        <f t="shared" si="19"/>
        <v>0</v>
      </c>
      <c r="AP48" s="143">
        <f t="shared" si="19"/>
        <v>0</v>
      </c>
      <c r="AQ48" s="143">
        <f t="shared" si="19"/>
        <v>0</v>
      </c>
      <c r="AR48" s="143">
        <f t="shared" si="19"/>
        <v>23422.235209999999</v>
      </c>
      <c r="AS48" s="143">
        <f t="shared" si="19"/>
        <v>0</v>
      </c>
      <c r="AT48" s="143">
        <f t="shared" si="19"/>
        <v>0</v>
      </c>
      <c r="AU48" s="143">
        <f t="shared" si="19"/>
        <v>0</v>
      </c>
      <c r="AV48" s="143">
        <f t="shared" si="19"/>
        <v>0</v>
      </c>
      <c r="AW48" s="143">
        <f t="shared" si="19"/>
        <v>9294.8969744999995</v>
      </c>
      <c r="AX48" s="143">
        <f t="shared" si="19"/>
        <v>0</v>
      </c>
      <c r="AY48" s="143">
        <f t="shared" si="19"/>
        <v>0</v>
      </c>
      <c r="AZ48" s="143">
        <f t="shared" si="19"/>
        <v>0</v>
      </c>
      <c r="BA48" s="143">
        <f t="shared" si="19"/>
        <v>0</v>
      </c>
      <c r="BB48" s="143">
        <f t="shared" si="19"/>
        <v>0</v>
      </c>
      <c r="BC48" s="143">
        <f t="shared" si="19"/>
        <v>27782.757722499999</v>
      </c>
      <c r="BD48" s="143">
        <f t="shared" si="19"/>
        <v>0</v>
      </c>
      <c r="BE48" s="143">
        <f t="shared" si="19"/>
        <v>0</v>
      </c>
      <c r="BF48" s="143">
        <f t="shared" si="19"/>
        <v>0</v>
      </c>
      <c r="BG48" s="143">
        <f t="shared" si="19"/>
        <v>0</v>
      </c>
      <c r="BH48" s="143">
        <f t="shared" si="19"/>
        <v>0</v>
      </c>
      <c r="BI48" s="143">
        <f t="shared" si="19"/>
        <v>0</v>
      </c>
      <c r="BJ48" s="143">
        <f t="shared" si="19"/>
        <v>0</v>
      </c>
      <c r="BK48" s="143">
        <f t="shared" si="19"/>
        <v>0</v>
      </c>
      <c r="BL48" s="143">
        <f t="shared" si="19"/>
        <v>0</v>
      </c>
      <c r="BM48" s="143">
        <f t="shared" si="19"/>
        <v>0</v>
      </c>
      <c r="BN48" s="143">
        <f t="shared" si="19"/>
        <v>0</v>
      </c>
      <c r="BO48" s="143">
        <f t="shared" si="19"/>
        <v>45367.269257449996</v>
      </c>
    </row>
    <row r="49" spans="5:5" x14ac:dyDescent="0.25">
      <c r="E49" s="134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</sheetPr>
  <dimension ref="A1:EK48"/>
  <sheetViews>
    <sheetView zoomScaleNormal="100" workbookViewId="0">
      <pane xSplit="21" ySplit="3" topLeftCell="AC22" activePane="bottomRight" state="frozen"/>
      <selection pane="topRight" activeCell="V1" sqref="V1"/>
      <selection pane="bottomLeft" activeCell="A4" sqref="A4"/>
      <selection pane="bottomRight" activeCell="AG45" sqref="AG45"/>
    </sheetView>
  </sheetViews>
  <sheetFormatPr defaultColWidth="8.7109375" defaultRowHeight="12.75" outlineLevelCol="1" x14ac:dyDescent="0.2"/>
  <cols>
    <col min="1" max="1" width="5" style="147" customWidth="1"/>
    <col min="2" max="2" width="22" style="147" customWidth="1"/>
    <col min="3" max="5" width="8" style="147" customWidth="1" outlineLevel="1"/>
    <col min="6" max="6" width="10" style="147" customWidth="1" outlineLevel="1"/>
    <col min="7" max="7" width="8" style="147" customWidth="1" outlineLevel="1"/>
    <col min="8" max="9" width="12" style="147" customWidth="1" outlineLevel="1"/>
    <col min="10" max="10" width="10" style="147" customWidth="1"/>
    <col min="11" max="20" width="8" style="147" customWidth="1"/>
    <col min="21" max="140" width="11" style="147" customWidth="1"/>
    <col min="141" max="16384" width="8.7109375" style="147"/>
  </cols>
  <sheetData>
    <row r="1" spans="1:141" customFormat="1" ht="15.75" customHeight="1" x14ac:dyDescent="0.25">
      <c r="A1" s="1" t="s">
        <v>189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24"/>
    </row>
    <row r="2" spans="1:141" customFormat="1" ht="15" x14ac:dyDescent="0.25">
      <c r="V2" s="124">
        <v>1</v>
      </c>
      <c r="W2" s="124">
        <v>2</v>
      </c>
      <c r="X2" s="124">
        <v>3</v>
      </c>
      <c r="Y2" s="124">
        <v>4</v>
      </c>
      <c r="Z2" s="124">
        <v>5</v>
      </c>
      <c r="AA2" s="124">
        <v>6</v>
      </c>
      <c r="AB2" s="124">
        <v>7</v>
      </c>
      <c r="AC2" s="124">
        <v>8</v>
      </c>
      <c r="AD2" s="124">
        <v>9</v>
      </c>
      <c r="AE2" s="124">
        <v>10</v>
      </c>
      <c r="AF2" s="124">
        <v>11</v>
      </c>
      <c r="AG2" s="124">
        <v>12</v>
      </c>
      <c r="AH2" s="124">
        <v>13</v>
      </c>
      <c r="AI2" s="124">
        <v>14</v>
      </c>
      <c r="AJ2" s="124">
        <v>15</v>
      </c>
      <c r="AK2" s="124">
        <v>16</v>
      </c>
      <c r="AL2" s="124">
        <v>17</v>
      </c>
      <c r="AM2" s="124">
        <v>18</v>
      </c>
      <c r="AN2" s="124">
        <v>19</v>
      </c>
      <c r="AO2" s="124">
        <v>20</v>
      </c>
      <c r="AP2" s="124">
        <v>21</v>
      </c>
      <c r="AQ2" s="124">
        <v>22</v>
      </c>
      <c r="AR2" s="124">
        <v>23</v>
      </c>
      <c r="AS2" s="124">
        <v>24</v>
      </c>
      <c r="AT2" s="124">
        <v>25</v>
      </c>
      <c r="AU2" s="124">
        <v>26</v>
      </c>
      <c r="AV2" s="124">
        <v>27</v>
      </c>
      <c r="AW2" s="124">
        <v>28</v>
      </c>
      <c r="AX2" s="124">
        <v>29</v>
      </c>
      <c r="AY2" s="124">
        <v>30</v>
      </c>
      <c r="AZ2" s="124">
        <v>31</v>
      </c>
      <c r="BA2" s="124">
        <v>32</v>
      </c>
      <c r="BB2" s="124">
        <v>33</v>
      </c>
      <c r="BC2" s="124">
        <v>34</v>
      </c>
      <c r="BD2" s="124">
        <v>35</v>
      </c>
      <c r="BE2" s="124">
        <v>36</v>
      </c>
      <c r="BF2" s="124">
        <v>37</v>
      </c>
      <c r="BG2" s="124">
        <v>38</v>
      </c>
      <c r="BH2" s="124">
        <v>39</v>
      </c>
      <c r="BI2" s="124">
        <v>40</v>
      </c>
      <c r="BJ2" s="124">
        <v>41</v>
      </c>
      <c r="BK2" s="124">
        <v>42</v>
      </c>
      <c r="BL2" s="124">
        <v>43</v>
      </c>
      <c r="BM2" s="124">
        <v>44</v>
      </c>
      <c r="BN2" s="124">
        <v>45</v>
      </c>
      <c r="BO2" s="124">
        <v>46</v>
      </c>
      <c r="BP2" s="124">
        <v>47</v>
      </c>
      <c r="BQ2" s="124">
        <v>48</v>
      </c>
      <c r="BR2" s="124">
        <v>49</v>
      </c>
      <c r="BS2" s="124">
        <v>50</v>
      </c>
      <c r="BT2" s="124">
        <v>51</v>
      </c>
      <c r="BU2" s="124">
        <v>52</v>
      </c>
      <c r="BV2" s="124">
        <v>53</v>
      </c>
      <c r="BW2" s="124">
        <v>54</v>
      </c>
      <c r="BX2" s="124">
        <v>55</v>
      </c>
      <c r="BY2" s="124">
        <v>56</v>
      </c>
      <c r="BZ2" s="124">
        <v>57</v>
      </c>
      <c r="CA2" s="124">
        <v>58</v>
      </c>
      <c r="CB2" s="124">
        <v>59</v>
      </c>
      <c r="CC2" s="124">
        <v>60</v>
      </c>
      <c r="CD2" s="124">
        <v>61</v>
      </c>
      <c r="CE2" s="124">
        <v>62</v>
      </c>
      <c r="CF2" s="124">
        <v>63</v>
      </c>
      <c r="CG2" s="124">
        <v>64</v>
      </c>
      <c r="CH2" s="124">
        <v>65</v>
      </c>
      <c r="CI2" s="124">
        <v>66</v>
      </c>
      <c r="CJ2" s="124">
        <v>67</v>
      </c>
      <c r="CK2" s="124">
        <v>68</v>
      </c>
      <c r="CL2" s="124">
        <v>69</v>
      </c>
      <c r="CM2" s="124">
        <v>70</v>
      </c>
      <c r="CN2" s="124">
        <v>71</v>
      </c>
      <c r="CO2" s="124">
        <v>72</v>
      </c>
      <c r="CP2" s="124">
        <v>73</v>
      </c>
      <c r="CQ2" s="124">
        <v>74</v>
      </c>
      <c r="CR2" s="124">
        <v>75</v>
      </c>
      <c r="CS2" s="124">
        <v>76</v>
      </c>
      <c r="CT2" s="124">
        <v>77</v>
      </c>
      <c r="CU2" s="124">
        <v>78</v>
      </c>
      <c r="CV2" s="124">
        <v>79</v>
      </c>
      <c r="CW2" s="124">
        <v>80</v>
      </c>
      <c r="CX2" s="124">
        <v>81</v>
      </c>
      <c r="CY2" s="124">
        <v>82</v>
      </c>
      <c r="CZ2" s="124">
        <v>83</v>
      </c>
      <c r="DA2" s="124">
        <v>84</v>
      </c>
      <c r="DB2" s="124">
        <v>85</v>
      </c>
      <c r="DC2" s="124">
        <v>86</v>
      </c>
      <c r="DD2" s="124">
        <v>87</v>
      </c>
      <c r="DE2" s="124">
        <v>88</v>
      </c>
      <c r="DF2" s="124">
        <v>89</v>
      </c>
      <c r="DG2" s="124">
        <v>90</v>
      </c>
      <c r="DH2" s="124">
        <v>91</v>
      </c>
      <c r="DI2" s="124">
        <v>92</v>
      </c>
      <c r="DJ2" s="124">
        <v>93</v>
      </c>
      <c r="DK2" s="124">
        <v>94</v>
      </c>
      <c r="DL2" s="124">
        <v>95</v>
      </c>
      <c r="DM2" s="124">
        <v>96</v>
      </c>
      <c r="DN2" s="124">
        <v>97</v>
      </c>
      <c r="DO2" s="124">
        <v>98</v>
      </c>
      <c r="DP2" s="124">
        <v>99</v>
      </c>
      <c r="DQ2" s="124">
        <v>100</v>
      </c>
      <c r="DR2" s="124">
        <v>101</v>
      </c>
      <c r="DS2" s="124">
        <v>102</v>
      </c>
      <c r="DT2" s="124">
        <v>103</v>
      </c>
      <c r="DU2" s="124">
        <v>104</v>
      </c>
      <c r="DV2" s="124">
        <v>105</v>
      </c>
      <c r="DW2" s="124">
        <v>106</v>
      </c>
      <c r="DX2" s="124">
        <v>107</v>
      </c>
      <c r="DY2" s="124">
        <v>108</v>
      </c>
      <c r="DZ2" s="124">
        <v>109</v>
      </c>
      <c r="EA2" s="124">
        <v>110</v>
      </c>
      <c r="EB2" s="124">
        <v>111</v>
      </c>
      <c r="EC2" s="124">
        <v>112</v>
      </c>
      <c r="ED2" s="124">
        <v>113</v>
      </c>
      <c r="EE2" s="124">
        <v>114</v>
      </c>
      <c r="EF2" s="124">
        <v>115</v>
      </c>
      <c r="EG2" s="124">
        <v>116</v>
      </c>
      <c r="EH2" s="124">
        <v>117</v>
      </c>
      <c r="EI2" s="124">
        <v>118</v>
      </c>
      <c r="EJ2" s="124">
        <v>119</v>
      </c>
      <c r="EK2" s="124">
        <v>120</v>
      </c>
    </row>
    <row r="3" spans="1:141" ht="51.75" customHeight="1" thickBot="1" x14ac:dyDescent="0.25">
      <c r="A3" s="74" t="s">
        <v>190</v>
      </c>
      <c r="B3" s="74" t="s">
        <v>191</v>
      </c>
      <c r="C3" s="74" t="s">
        <v>122</v>
      </c>
      <c r="D3" s="74" t="s">
        <v>192</v>
      </c>
      <c r="E3" s="74" t="s">
        <v>123</v>
      </c>
      <c r="F3" s="74" t="s">
        <v>126</v>
      </c>
      <c r="G3" s="74" t="s">
        <v>193</v>
      </c>
      <c r="H3" s="74" t="s">
        <v>124</v>
      </c>
      <c r="I3" s="74" t="s">
        <v>125</v>
      </c>
      <c r="J3" s="74" t="s">
        <v>287</v>
      </c>
      <c r="K3" s="74" t="s">
        <v>288</v>
      </c>
      <c r="L3" s="74" t="s">
        <v>289</v>
      </c>
      <c r="M3" s="74" t="s">
        <v>279</v>
      </c>
      <c r="N3" s="74" t="s">
        <v>194</v>
      </c>
      <c r="O3" s="74" t="s">
        <v>195</v>
      </c>
      <c r="P3" s="74" t="s">
        <v>196</v>
      </c>
      <c r="Q3" s="74" t="s">
        <v>197</v>
      </c>
      <c r="R3" s="74" t="s">
        <v>198</v>
      </c>
      <c r="S3" s="74" t="s">
        <v>199</v>
      </c>
      <c r="T3" s="74" t="s">
        <v>200</v>
      </c>
      <c r="U3" s="74" t="s">
        <v>280</v>
      </c>
      <c r="V3" s="173" t="s">
        <v>201</v>
      </c>
    </row>
    <row r="4" spans="1:141" x14ac:dyDescent="0.2">
      <c r="A4" s="125" t="str">
        <f>'OM Rent Roll'!A5</f>
        <v>4949 A1&amp;A2</v>
      </c>
      <c r="B4" s="125" t="str">
        <f>'OM Rent Roll'!B5</f>
        <v>Middle East Bakery</v>
      </c>
      <c r="C4" s="126">
        <f>'OM Rent Roll'!C5</f>
        <v>2230</v>
      </c>
      <c r="D4" s="63">
        <f>C4/NRA</f>
        <v>0.12472035794183445</v>
      </c>
      <c r="E4" s="125" t="str">
        <f>'OM Rent Roll'!D5</f>
        <v>NNN</v>
      </c>
      <c r="F4" s="127">
        <f>'OM Rent Roll'!G5</f>
        <v>1.0304932735426009</v>
      </c>
      <c r="G4" s="129">
        <f>'OM Rent Roll'!H5</f>
        <v>1.9538771056290427E-2</v>
      </c>
      <c r="H4" s="148">
        <f>IF('OM Rent Roll'!E5=0,"",'OM Rent Roll'!E5)</f>
        <v>45444</v>
      </c>
      <c r="I4" s="148">
        <f>IF('OM Rent Roll'!F5=0,"",'OM Rent Roll'!F5)</f>
        <v>47392</v>
      </c>
      <c r="J4" s="128">
        <v>1</v>
      </c>
      <c r="K4" s="60">
        <v>60</v>
      </c>
      <c r="L4" s="60">
        <v>36</v>
      </c>
      <c r="M4" s="179">
        <f>Rent_Growth</f>
        <v>0.03</v>
      </c>
      <c r="N4" s="183">
        <v>0.75</v>
      </c>
      <c r="O4" s="60">
        <v>6</v>
      </c>
      <c r="P4" s="188">
        <v>25</v>
      </c>
      <c r="Q4" s="188">
        <v>5</v>
      </c>
      <c r="R4" s="179">
        <v>0.06</v>
      </c>
      <c r="S4" s="179">
        <v>0.03</v>
      </c>
      <c r="T4" s="60" t="s">
        <v>202</v>
      </c>
      <c r="U4" s="168">
        <v>0</v>
      </c>
      <c r="V4" s="174" t="str">
        <f t="shared" ref="V4:BA4" si="0">IF(OR($I$4="",$I$4=0),IF(V$2&lt;$U$4,"Vacant","Relet"),IF(ISTEXT($I$4),IF($U$4&gt;0,IF(V$2&lt;$U$4,"Downtime","Relet"),IF(V$2&lt;=$O$4,"Downtime","Relet")),IF($I$4&lt;=Close_Date,IF(V$2&lt;=$O$4,"Downtime","Relet"),IF(V$2&lt;=DATEDIF(Close_Date,$I$4,"M"),"In-Term",IF(V$2&lt;=DATEDIF(Close_Date,$I$4,"M")+$O$4,"Downtime","Relet")))))</f>
        <v>In-Term</v>
      </c>
      <c r="W4" s="149" t="str">
        <f t="shared" si="0"/>
        <v>In-Term</v>
      </c>
      <c r="X4" s="149" t="str">
        <f t="shared" si="0"/>
        <v>In-Term</v>
      </c>
      <c r="Y4" s="149" t="str">
        <f t="shared" si="0"/>
        <v>In-Term</v>
      </c>
      <c r="Z4" s="149" t="str">
        <f t="shared" si="0"/>
        <v>In-Term</v>
      </c>
      <c r="AA4" s="149" t="str">
        <f t="shared" si="0"/>
        <v>In-Term</v>
      </c>
      <c r="AB4" s="149" t="str">
        <f t="shared" si="0"/>
        <v>In-Term</v>
      </c>
      <c r="AC4" s="149" t="str">
        <f t="shared" si="0"/>
        <v>In-Term</v>
      </c>
      <c r="AD4" s="149" t="str">
        <f t="shared" si="0"/>
        <v>In-Term</v>
      </c>
      <c r="AE4" s="149" t="str">
        <f t="shared" si="0"/>
        <v>In-Term</v>
      </c>
      <c r="AF4" s="149" t="str">
        <f t="shared" si="0"/>
        <v>In-Term</v>
      </c>
      <c r="AG4" s="149" t="str">
        <f t="shared" si="0"/>
        <v>In-Term</v>
      </c>
      <c r="AH4" s="149" t="str">
        <f t="shared" si="0"/>
        <v>In-Term</v>
      </c>
      <c r="AI4" s="149" t="str">
        <f t="shared" si="0"/>
        <v>In-Term</v>
      </c>
      <c r="AJ4" s="149" t="str">
        <f t="shared" si="0"/>
        <v>In-Term</v>
      </c>
      <c r="AK4" s="149" t="str">
        <f t="shared" si="0"/>
        <v>In-Term</v>
      </c>
      <c r="AL4" s="149" t="str">
        <f t="shared" si="0"/>
        <v>In-Term</v>
      </c>
      <c r="AM4" s="149" t="str">
        <f t="shared" si="0"/>
        <v>In-Term</v>
      </c>
      <c r="AN4" s="149" t="str">
        <f t="shared" si="0"/>
        <v>In-Term</v>
      </c>
      <c r="AO4" s="149" t="str">
        <f t="shared" si="0"/>
        <v>In-Term</v>
      </c>
      <c r="AP4" s="149" t="str">
        <f t="shared" si="0"/>
        <v>In-Term</v>
      </c>
      <c r="AQ4" s="149" t="str">
        <f t="shared" si="0"/>
        <v>In-Term</v>
      </c>
      <c r="AR4" s="149" t="str">
        <f t="shared" si="0"/>
        <v>In-Term</v>
      </c>
      <c r="AS4" s="149" t="str">
        <f t="shared" si="0"/>
        <v>In-Term</v>
      </c>
      <c r="AT4" s="149" t="str">
        <f t="shared" si="0"/>
        <v>In-Term</v>
      </c>
      <c r="AU4" s="149" t="str">
        <f t="shared" si="0"/>
        <v>In-Term</v>
      </c>
      <c r="AV4" s="149" t="str">
        <f t="shared" si="0"/>
        <v>In-Term</v>
      </c>
      <c r="AW4" s="149" t="str">
        <f t="shared" si="0"/>
        <v>In-Term</v>
      </c>
      <c r="AX4" s="149" t="str">
        <f t="shared" si="0"/>
        <v>In-Term</v>
      </c>
      <c r="AY4" s="149" t="str">
        <f t="shared" si="0"/>
        <v>In-Term</v>
      </c>
      <c r="AZ4" s="149" t="str">
        <f t="shared" si="0"/>
        <v>In-Term</v>
      </c>
      <c r="BA4" s="149" t="str">
        <f t="shared" si="0"/>
        <v>In-Term</v>
      </c>
      <c r="BB4" s="149" t="str">
        <f t="shared" ref="BB4:CD4" si="1">IF(OR($I$4="",$I$4=0),IF(BB$2&lt;$U$4,"Vacant","Relet"),IF(ISTEXT($I$4),IF($U$4&gt;0,IF(BB$2&lt;$U$4,"Downtime","Relet"),IF(BB$2&lt;=$O$4,"Downtime","Relet")),IF($I$4&lt;=Close_Date,IF(BB$2&lt;=$O$4,"Downtime","Relet"),IF(BB$2&lt;=DATEDIF(Close_Date,$I$4,"M"),"In-Term",IF(BB$2&lt;=DATEDIF(Close_Date,$I$4,"M")+$O$4,"Downtime","Relet")))))</f>
        <v>In-Term</v>
      </c>
      <c r="BC4" s="149" t="str">
        <f t="shared" si="1"/>
        <v>In-Term</v>
      </c>
      <c r="BD4" s="149" t="str">
        <f t="shared" si="1"/>
        <v>In-Term</v>
      </c>
      <c r="BE4" s="149" t="str">
        <f t="shared" si="1"/>
        <v>In-Term</v>
      </c>
      <c r="BF4" s="149" t="str">
        <f t="shared" si="1"/>
        <v>In-Term</v>
      </c>
      <c r="BG4" s="149" t="str">
        <f t="shared" si="1"/>
        <v>In-Term</v>
      </c>
      <c r="BH4" s="149" t="str">
        <f t="shared" si="1"/>
        <v>In-Term</v>
      </c>
      <c r="BI4" s="149" t="str">
        <f t="shared" si="1"/>
        <v>In-Term</v>
      </c>
      <c r="BJ4" s="149" t="str">
        <f t="shared" si="1"/>
        <v>In-Term</v>
      </c>
      <c r="BK4" s="149" t="str">
        <f t="shared" si="1"/>
        <v>Downtime</v>
      </c>
      <c r="BL4" s="149" t="str">
        <f t="shared" si="1"/>
        <v>Downtime</v>
      </c>
      <c r="BM4" s="149" t="str">
        <f t="shared" si="1"/>
        <v>Downtime</v>
      </c>
      <c r="BN4" s="149" t="str">
        <f t="shared" si="1"/>
        <v>Downtime</v>
      </c>
      <c r="BO4" s="149" t="str">
        <f t="shared" si="1"/>
        <v>Downtime</v>
      </c>
      <c r="BP4" s="149" t="str">
        <f t="shared" si="1"/>
        <v>Downtime</v>
      </c>
      <c r="BQ4" s="149" t="str">
        <f t="shared" si="1"/>
        <v>Relet</v>
      </c>
      <c r="BR4" s="149" t="str">
        <f t="shared" si="1"/>
        <v>Relet</v>
      </c>
      <c r="BS4" s="149" t="str">
        <f t="shared" si="1"/>
        <v>Relet</v>
      </c>
      <c r="BT4" s="149" t="str">
        <f t="shared" si="1"/>
        <v>Relet</v>
      </c>
      <c r="BU4" s="149" t="str">
        <f t="shared" si="1"/>
        <v>Relet</v>
      </c>
      <c r="BV4" s="149" t="str">
        <f t="shared" si="1"/>
        <v>Relet</v>
      </c>
      <c r="BW4" s="149" t="str">
        <f t="shared" si="1"/>
        <v>Relet</v>
      </c>
      <c r="BX4" s="149" t="str">
        <f t="shared" si="1"/>
        <v>Relet</v>
      </c>
      <c r="BY4" s="149" t="str">
        <f t="shared" si="1"/>
        <v>Relet</v>
      </c>
      <c r="BZ4" s="149" t="str">
        <f t="shared" si="1"/>
        <v>Relet</v>
      </c>
      <c r="CA4" s="149" t="str">
        <f t="shared" si="1"/>
        <v>Relet</v>
      </c>
      <c r="CB4" s="149" t="str">
        <f t="shared" si="1"/>
        <v>Relet</v>
      </c>
      <c r="CC4" s="149" t="str">
        <f t="shared" si="1"/>
        <v>Relet</v>
      </c>
      <c r="CD4" s="149" t="str">
        <f t="shared" si="1"/>
        <v>Relet</v>
      </c>
    </row>
    <row r="5" spans="1:141" x14ac:dyDescent="0.2">
      <c r="A5" s="150"/>
      <c r="B5" s="151" t="s">
        <v>203</v>
      </c>
      <c r="C5" s="150"/>
      <c r="D5" s="150"/>
      <c r="E5" s="150"/>
      <c r="F5" s="150"/>
      <c r="G5" s="150"/>
      <c r="H5" s="150"/>
      <c r="I5" s="150"/>
      <c r="J5" s="152"/>
      <c r="K5" s="150"/>
      <c r="L5" s="150"/>
      <c r="M5" s="180"/>
      <c r="N5" s="184"/>
      <c r="O5" s="150"/>
      <c r="P5" s="180"/>
      <c r="Q5" s="180"/>
      <c r="R5" s="180"/>
      <c r="S5" s="180"/>
      <c r="T5" s="150"/>
      <c r="U5" s="169"/>
      <c r="V5" s="175">
        <f t="shared" ref="V5:BA5" si="2">IF(V4="Vacant",0,IF(V4="In-Term",$F$4*(1+$G$4)^(INT((V$2-1)/12)),IF(AND(V4="Downtime",ISTEXT($I$4)),$F$4,$J$4*(1+$M$4)^(INT((V$2-1)/12)))))</f>
        <v>1.0304932735426009</v>
      </c>
      <c r="W5" s="153">
        <f t="shared" si="2"/>
        <v>1.0304932735426009</v>
      </c>
      <c r="X5" s="153">
        <f t="shared" si="2"/>
        <v>1.0304932735426009</v>
      </c>
      <c r="Y5" s="153">
        <f t="shared" si="2"/>
        <v>1.0304932735426009</v>
      </c>
      <c r="Z5" s="153">
        <f t="shared" si="2"/>
        <v>1.0304932735426009</v>
      </c>
      <c r="AA5" s="153">
        <f t="shared" si="2"/>
        <v>1.0304932735426009</v>
      </c>
      <c r="AB5" s="153">
        <f t="shared" si="2"/>
        <v>1.0304932735426009</v>
      </c>
      <c r="AC5" s="153">
        <f t="shared" si="2"/>
        <v>1.0304932735426009</v>
      </c>
      <c r="AD5" s="153">
        <f t="shared" si="2"/>
        <v>1.0304932735426009</v>
      </c>
      <c r="AE5" s="153">
        <f t="shared" si="2"/>
        <v>1.0304932735426009</v>
      </c>
      <c r="AF5" s="153">
        <f t="shared" si="2"/>
        <v>1.0304932735426009</v>
      </c>
      <c r="AG5" s="153">
        <f t="shared" si="2"/>
        <v>1.0304932735426009</v>
      </c>
      <c r="AH5" s="153">
        <f t="shared" si="2"/>
        <v>1.0506278456893969</v>
      </c>
      <c r="AI5" s="153">
        <f t="shared" si="2"/>
        <v>1.0506278456893969</v>
      </c>
      <c r="AJ5" s="153">
        <f t="shared" si="2"/>
        <v>1.0506278456893969</v>
      </c>
      <c r="AK5" s="153">
        <f t="shared" si="2"/>
        <v>1.0506278456893969</v>
      </c>
      <c r="AL5" s="153">
        <f t="shared" si="2"/>
        <v>1.0506278456893969</v>
      </c>
      <c r="AM5" s="153">
        <f t="shared" si="2"/>
        <v>1.0506278456893969</v>
      </c>
      <c r="AN5" s="153">
        <f t="shared" si="2"/>
        <v>1.0506278456893969</v>
      </c>
      <c r="AO5" s="153">
        <f t="shared" si="2"/>
        <v>1.0506278456893969</v>
      </c>
      <c r="AP5" s="153">
        <f t="shared" si="2"/>
        <v>1.0506278456893969</v>
      </c>
      <c r="AQ5" s="153">
        <f t="shared" si="2"/>
        <v>1.0506278456893969</v>
      </c>
      <c r="AR5" s="153">
        <f t="shared" si="2"/>
        <v>1.0506278456893969</v>
      </c>
      <c r="AS5" s="153">
        <f t="shared" si="2"/>
        <v>1.0506278456893969</v>
      </c>
      <c r="AT5" s="153">
        <f t="shared" si="2"/>
        <v>1.0711558226316857</v>
      </c>
      <c r="AU5" s="153">
        <f t="shared" si="2"/>
        <v>1.0711558226316857</v>
      </c>
      <c r="AV5" s="153">
        <f t="shared" si="2"/>
        <v>1.0711558226316857</v>
      </c>
      <c r="AW5" s="153">
        <f t="shared" si="2"/>
        <v>1.0711558226316857</v>
      </c>
      <c r="AX5" s="153">
        <f t="shared" si="2"/>
        <v>1.0711558226316857</v>
      </c>
      <c r="AY5" s="153">
        <f t="shared" si="2"/>
        <v>1.0711558226316857</v>
      </c>
      <c r="AZ5" s="153">
        <f t="shared" si="2"/>
        <v>1.0711558226316857</v>
      </c>
      <c r="BA5" s="153">
        <f t="shared" si="2"/>
        <v>1.0711558226316857</v>
      </c>
      <c r="BB5" s="153">
        <f t="shared" ref="BB5:CD5" si="3">IF(BB4="Vacant",0,IF(BB4="In-Term",$F$4*(1+$G$4)^(INT((BB$2-1)/12)),IF(AND(BB4="Downtime",ISTEXT($I$4)),$F$4,$J$4*(1+$M$4)^(INT((BB$2-1)/12)))))</f>
        <v>1.0711558226316857</v>
      </c>
      <c r="BC5" s="153">
        <f t="shared" si="3"/>
        <v>1.0711558226316857</v>
      </c>
      <c r="BD5" s="153">
        <f t="shared" si="3"/>
        <v>1.0711558226316857</v>
      </c>
      <c r="BE5" s="153">
        <f t="shared" si="3"/>
        <v>1.0711558226316857</v>
      </c>
      <c r="BF5" s="153">
        <f t="shared" si="3"/>
        <v>1.0920848910156988</v>
      </c>
      <c r="BG5" s="153">
        <f t="shared" si="3"/>
        <v>1.0920848910156988</v>
      </c>
      <c r="BH5" s="153">
        <f t="shared" si="3"/>
        <v>1.0920848910156988</v>
      </c>
      <c r="BI5" s="153">
        <f t="shared" si="3"/>
        <v>1.0920848910156988</v>
      </c>
      <c r="BJ5" s="153">
        <f t="shared" si="3"/>
        <v>1.0920848910156988</v>
      </c>
      <c r="BK5" s="153">
        <f t="shared" si="3"/>
        <v>1.092727</v>
      </c>
      <c r="BL5" s="153">
        <f t="shared" si="3"/>
        <v>1.092727</v>
      </c>
      <c r="BM5" s="153">
        <f t="shared" si="3"/>
        <v>1.092727</v>
      </c>
      <c r="BN5" s="153">
        <f t="shared" si="3"/>
        <v>1.092727</v>
      </c>
      <c r="BO5" s="153">
        <f t="shared" si="3"/>
        <v>1.092727</v>
      </c>
      <c r="BP5" s="153">
        <f t="shared" si="3"/>
        <v>1.092727</v>
      </c>
      <c r="BQ5" s="153">
        <f t="shared" si="3"/>
        <v>1.092727</v>
      </c>
      <c r="BR5" s="153">
        <f t="shared" si="3"/>
        <v>1.1255088099999999</v>
      </c>
      <c r="BS5" s="153">
        <f t="shared" si="3"/>
        <v>1.1255088099999999</v>
      </c>
      <c r="BT5" s="153">
        <f t="shared" si="3"/>
        <v>1.1255088099999999</v>
      </c>
      <c r="BU5" s="153">
        <f t="shared" si="3"/>
        <v>1.1255088099999999</v>
      </c>
      <c r="BV5" s="153">
        <f t="shared" si="3"/>
        <v>1.1255088099999999</v>
      </c>
      <c r="BW5" s="153">
        <f t="shared" si="3"/>
        <v>1.1255088099999999</v>
      </c>
      <c r="BX5" s="153">
        <f t="shared" si="3"/>
        <v>1.1255088099999999</v>
      </c>
      <c r="BY5" s="153">
        <f t="shared" si="3"/>
        <v>1.1255088099999999</v>
      </c>
      <c r="BZ5" s="153">
        <f t="shared" si="3"/>
        <v>1.1255088099999999</v>
      </c>
      <c r="CA5" s="153">
        <f t="shared" si="3"/>
        <v>1.1255088099999999</v>
      </c>
      <c r="CB5" s="153">
        <f t="shared" si="3"/>
        <v>1.1255088099999999</v>
      </c>
      <c r="CC5" s="153">
        <f t="shared" si="3"/>
        <v>1.1255088099999999</v>
      </c>
      <c r="CD5" s="153">
        <f t="shared" si="3"/>
        <v>1.1592740742999998</v>
      </c>
      <c r="CE5" s="154"/>
      <c r="CF5" s="154"/>
      <c r="CG5" s="154"/>
      <c r="CH5" s="154"/>
      <c r="CI5" s="154"/>
      <c r="CJ5" s="154"/>
      <c r="CK5" s="154"/>
      <c r="CL5" s="154"/>
      <c r="CM5" s="154"/>
      <c r="CN5" s="154"/>
      <c r="CO5" s="154"/>
      <c r="CP5" s="154"/>
      <c r="CQ5" s="154"/>
      <c r="CR5" s="154"/>
      <c r="CS5" s="154"/>
      <c r="CT5" s="154"/>
      <c r="CU5" s="154"/>
      <c r="CV5" s="154"/>
      <c r="CW5" s="154"/>
      <c r="CX5" s="154"/>
      <c r="CY5" s="154"/>
      <c r="CZ5" s="154"/>
      <c r="DA5" s="154"/>
      <c r="DB5" s="154"/>
      <c r="DC5" s="154"/>
      <c r="DD5" s="154"/>
      <c r="DE5" s="154"/>
      <c r="DF5" s="154"/>
      <c r="DG5" s="154"/>
      <c r="DH5" s="154"/>
      <c r="DI5" s="154"/>
      <c r="DJ5" s="154"/>
      <c r="DK5" s="154"/>
      <c r="DL5" s="154"/>
      <c r="DM5" s="154"/>
      <c r="DN5" s="154"/>
      <c r="DO5" s="154"/>
      <c r="DP5" s="154"/>
      <c r="DQ5" s="154"/>
      <c r="DR5" s="154"/>
      <c r="DS5" s="154"/>
      <c r="DT5" s="154"/>
      <c r="DU5" s="154"/>
      <c r="DV5" s="154"/>
      <c r="DW5" s="154"/>
      <c r="DX5" s="154"/>
      <c r="DY5" s="154"/>
      <c r="DZ5" s="154"/>
      <c r="EA5" s="154"/>
      <c r="EB5" s="154"/>
      <c r="EC5" s="154"/>
      <c r="ED5" s="154"/>
      <c r="EE5" s="154"/>
      <c r="EF5" s="154"/>
      <c r="EG5" s="154"/>
      <c r="EH5" s="154"/>
      <c r="EI5" s="154"/>
      <c r="EJ5" s="154"/>
      <c r="EK5" s="154"/>
    </row>
    <row r="6" spans="1:141" x14ac:dyDescent="0.2">
      <c r="A6" s="150"/>
      <c r="B6" s="151" t="s">
        <v>204</v>
      </c>
      <c r="C6" s="150"/>
      <c r="D6" s="150"/>
      <c r="E6" s="150"/>
      <c r="F6" s="150"/>
      <c r="G6" s="150"/>
      <c r="H6" s="150"/>
      <c r="I6" s="150"/>
      <c r="J6" s="152"/>
      <c r="K6" s="150"/>
      <c r="L6" s="150"/>
      <c r="M6" s="180"/>
      <c r="N6" s="184"/>
      <c r="O6" s="150"/>
      <c r="P6" s="180"/>
      <c r="Q6" s="180"/>
      <c r="R6" s="180"/>
      <c r="S6" s="180"/>
      <c r="T6" s="150"/>
      <c r="U6" s="169"/>
      <c r="V6" s="176">
        <f t="shared" ref="V6:BA6" si="4">IF(V4="Vacant",0,IF(V4="Downtime",$N$4*V5*$C$4,V5*$C$4))</f>
        <v>2298</v>
      </c>
      <c r="W6" s="155">
        <f t="shared" si="4"/>
        <v>2298</v>
      </c>
      <c r="X6" s="155">
        <f t="shared" si="4"/>
        <v>2298</v>
      </c>
      <c r="Y6" s="155">
        <f t="shared" si="4"/>
        <v>2298</v>
      </c>
      <c r="Z6" s="155">
        <f t="shared" si="4"/>
        <v>2298</v>
      </c>
      <c r="AA6" s="155">
        <f t="shared" si="4"/>
        <v>2298</v>
      </c>
      <c r="AB6" s="155">
        <f t="shared" si="4"/>
        <v>2298</v>
      </c>
      <c r="AC6" s="155">
        <f t="shared" si="4"/>
        <v>2298</v>
      </c>
      <c r="AD6" s="155">
        <f t="shared" si="4"/>
        <v>2298</v>
      </c>
      <c r="AE6" s="155">
        <f t="shared" si="4"/>
        <v>2298</v>
      </c>
      <c r="AF6" s="155">
        <f t="shared" si="4"/>
        <v>2298</v>
      </c>
      <c r="AG6" s="155">
        <f t="shared" si="4"/>
        <v>2298</v>
      </c>
      <c r="AH6" s="155">
        <f t="shared" si="4"/>
        <v>2342.9000958873553</v>
      </c>
      <c r="AI6" s="155">
        <f t="shared" si="4"/>
        <v>2342.9000958873553</v>
      </c>
      <c r="AJ6" s="155">
        <f t="shared" si="4"/>
        <v>2342.9000958873553</v>
      </c>
      <c r="AK6" s="155">
        <f t="shared" si="4"/>
        <v>2342.9000958873553</v>
      </c>
      <c r="AL6" s="155">
        <f t="shared" si="4"/>
        <v>2342.9000958873553</v>
      </c>
      <c r="AM6" s="155">
        <f t="shared" si="4"/>
        <v>2342.9000958873553</v>
      </c>
      <c r="AN6" s="155">
        <f t="shared" si="4"/>
        <v>2342.9000958873553</v>
      </c>
      <c r="AO6" s="155">
        <f t="shared" si="4"/>
        <v>2342.9000958873553</v>
      </c>
      <c r="AP6" s="155">
        <f t="shared" si="4"/>
        <v>2342.9000958873553</v>
      </c>
      <c r="AQ6" s="155">
        <f t="shared" si="4"/>
        <v>2342.9000958873553</v>
      </c>
      <c r="AR6" s="155">
        <f t="shared" si="4"/>
        <v>2342.9000958873553</v>
      </c>
      <c r="AS6" s="155">
        <f t="shared" si="4"/>
        <v>2342.9000958873553</v>
      </c>
      <c r="AT6" s="155">
        <f t="shared" si="4"/>
        <v>2388.6774844686593</v>
      </c>
      <c r="AU6" s="155">
        <f t="shared" si="4"/>
        <v>2388.6774844686593</v>
      </c>
      <c r="AV6" s="155">
        <f t="shared" si="4"/>
        <v>2388.6774844686593</v>
      </c>
      <c r="AW6" s="155">
        <f t="shared" si="4"/>
        <v>2388.6774844686593</v>
      </c>
      <c r="AX6" s="155">
        <f t="shared" si="4"/>
        <v>2388.6774844686593</v>
      </c>
      <c r="AY6" s="155">
        <f t="shared" si="4"/>
        <v>2388.6774844686593</v>
      </c>
      <c r="AZ6" s="155">
        <f t="shared" si="4"/>
        <v>2388.6774844686593</v>
      </c>
      <c r="BA6" s="155">
        <f t="shared" si="4"/>
        <v>2388.6774844686593</v>
      </c>
      <c r="BB6" s="155">
        <f t="shared" ref="BB6:CD6" si="5">IF(BB4="Vacant",0,IF(BB4="Downtime",$N$4*BB5*$C$4,BB5*$C$4))</f>
        <v>2388.6774844686593</v>
      </c>
      <c r="BC6" s="155">
        <f t="shared" si="5"/>
        <v>2388.6774844686593</v>
      </c>
      <c r="BD6" s="155">
        <f t="shared" si="5"/>
        <v>2388.6774844686593</v>
      </c>
      <c r="BE6" s="155">
        <f t="shared" si="5"/>
        <v>2388.6774844686593</v>
      </c>
      <c r="BF6" s="155">
        <f t="shared" si="5"/>
        <v>2435.3493069650085</v>
      </c>
      <c r="BG6" s="155">
        <f t="shared" si="5"/>
        <v>2435.3493069650085</v>
      </c>
      <c r="BH6" s="155">
        <f t="shared" si="5"/>
        <v>2435.3493069650085</v>
      </c>
      <c r="BI6" s="155">
        <f t="shared" si="5"/>
        <v>2435.3493069650085</v>
      </c>
      <c r="BJ6" s="155">
        <f t="shared" si="5"/>
        <v>2435.3493069650085</v>
      </c>
      <c r="BK6" s="155">
        <f t="shared" si="5"/>
        <v>1827.5859075000001</v>
      </c>
      <c r="BL6" s="155">
        <f t="shared" si="5"/>
        <v>1827.5859075000001</v>
      </c>
      <c r="BM6" s="155">
        <f t="shared" si="5"/>
        <v>1827.5859075000001</v>
      </c>
      <c r="BN6" s="155">
        <f t="shared" si="5"/>
        <v>1827.5859075000001</v>
      </c>
      <c r="BO6" s="155">
        <f t="shared" si="5"/>
        <v>1827.5859075000001</v>
      </c>
      <c r="BP6" s="155">
        <f t="shared" si="5"/>
        <v>1827.5859075000001</v>
      </c>
      <c r="BQ6" s="155">
        <f t="shared" si="5"/>
        <v>2436.7812100000001</v>
      </c>
      <c r="BR6" s="155">
        <f t="shared" si="5"/>
        <v>2509.8846463</v>
      </c>
      <c r="BS6" s="155">
        <f t="shared" si="5"/>
        <v>2509.8846463</v>
      </c>
      <c r="BT6" s="155">
        <f t="shared" si="5"/>
        <v>2509.8846463</v>
      </c>
      <c r="BU6" s="155">
        <f t="shared" si="5"/>
        <v>2509.8846463</v>
      </c>
      <c r="BV6" s="155">
        <f t="shared" si="5"/>
        <v>2509.8846463</v>
      </c>
      <c r="BW6" s="155">
        <f t="shared" si="5"/>
        <v>2509.8846463</v>
      </c>
      <c r="BX6" s="155">
        <f t="shared" si="5"/>
        <v>2509.8846463</v>
      </c>
      <c r="BY6" s="155">
        <f t="shared" si="5"/>
        <v>2509.8846463</v>
      </c>
      <c r="BZ6" s="155">
        <f t="shared" si="5"/>
        <v>2509.8846463</v>
      </c>
      <c r="CA6" s="155">
        <f t="shared" si="5"/>
        <v>2509.8846463</v>
      </c>
      <c r="CB6" s="155">
        <f t="shared" si="5"/>
        <v>2509.8846463</v>
      </c>
      <c r="CC6" s="155">
        <f t="shared" si="5"/>
        <v>2509.8846463</v>
      </c>
      <c r="CD6" s="155">
        <f t="shared" si="5"/>
        <v>2585.1811856889994</v>
      </c>
      <c r="CE6" s="156"/>
      <c r="CF6" s="156"/>
      <c r="CG6" s="156"/>
      <c r="CH6" s="156"/>
      <c r="CI6" s="156"/>
      <c r="CJ6" s="156"/>
      <c r="CK6" s="156"/>
      <c r="CL6" s="156"/>
      <c r="CM6" s="156"/>
      <c r="CN6" s="156"/>
      <c r="CO6" s="156"/>
      <c r="CP6" s="156"/>
      <c r="CQ6" s="156"/>
      <c r="CR6" s="156"/>
      <c r="CS6" s="156"/>
      <c r="CT6" s="156"/>
      <c r="CU6" s="156"/>
      <c r="CV6" s="156"/>
      <c r="CW6" s="156"/>
      <c r="CX6" s="156"/>
      <c r="CY6" s="156"/>
      <c r="CZ6" s="156"/>
      <c r="DA6" s="156"/>
      <c r="DB6" s="156"/>
      <c r="DC6" s="156"/>
      <c r="DD6" s="156"/>
      <c r="DE6" s="156"/>
      <c r="DF6" s="156"/>
      <c r="DG6" s="156"/>
      <c r="DH6" s="156"/>
      <c r="DI6" s="156"/>
      <c r="DJ6" s="156"/>
      <c r="DK6" s="156"/>
      <c r="DL6" s="156"/>
      <c r="DM6" s="156"/>
      <c r="DN6" s="156"/>
      <c r="DO6" s="156"/>
      <c r="DP6" s="156"/>
      <c r="DQ6" s="156"/>
      <c r="DR6" s="156"/>
      <c r="DS6" s="156"/>
      <c r="DT6" s="156"/>
      <c r="DU6" s="156"/>
      <c r="DV6" s="156"/>
      <c r="DW6" s="156"/>
      <c r="DX6" s="156"/>
      <c r="DY6" s="156"/>
      <c r="DZ6" s="156"/>
      <c r="EA6" s="156"/>
      <c r="EB6" s="156"/>
      <c r="EC6" s="156"/>
      <c r="ED6" s="156"/>
      <c r="EE6" s="156"/>
      <c r="EF6" s="156"/>
      <c r="EG6" s="156"/>
      <c r="EH6" s="156"/>
      <c r="EI6" s="156"/>
      <c r="EJ6" s="156"/>
      <c r="EK6" s="156"/>
    </row>
    <row r="7" spans="1:141" x14ac:dyDescent="0.2">
      <c r="A7" s="130" t="str">
        <f>'OM Rent Roll'!A6</f>
        <v>4949 B</v>
      </c>
      <c r="B7" s="130" t="str">
        <f>'OM Rent Roll'!B6</f>
        <v>VACANT</v>
      </c>
      <c r="C7" s="131">
        <f>'OM Rent Roll'!C6</f>
        <v>910</v>
      </c>
      <c r="D7" s="83">
        <f>C7/NRA</f>
        <v>5.0894854586129752E-2</v>
      </c>
      <c r="E7" s="130" t="str">
        <f>'OM Rent Roll'!D6</f>
        <v>NNN</v>
      </c>
      <c r="F7" s="132">
        <f>'OM Rent Roll'!G6</f>
        <v>0.9</v>
      </c>
      <c r="G7" s="133">
        <f>'OM Rent Roll'!H6</f>
        <v>4.3150430604299572E-4</v>
      </c>
      <c r="H7" s="130" t="str">
        <f>IF('OM Rent Roll'!E6=0,"",'OM Rent Roll'!E6)</f>
        <v/>
      </c>
      <c r="I7" s="130" t="str">
        <f>IF('OM Rent Roll'!F6=0,"",'OM Rent Roll'!F6)</f>
        <v/>
      </c>
      <c r="J7" s="128">
        <v>1</v>
      </c>
      <c r="K7" s="80">
        <v>60</v>
      </c>
      <c r="L7" s="80">
        <v>36</v>
      </c>
      <c r="M7" s="181">
        <f>Rent_Growth</f>
        <v>0.03</v>
      </c>
      <c r="N7" s="185">
        <v>0.75</v>
      </c>
      <c r="O7" s="80">
        <v>6</v>
      </c>
      <c r="P7" s="189">
        <v>25</v>
      </c>
      <c r="Q7" s="189">
        <v>25</v>
      </c>
      <c r="R7" s="181">
        <v>0.06</v>
      </c>
      <c r="S7" s="181">
        <v>0.06</v>
      </c>
      <c r="T7" s="80" t="s">
        <v>202</v>
      </c>
      <c r="U7" s="170">
        <v>6</v>
      </c>
      <c r="V7" s="174" t="str">
        <f t="shared" ref="V7:BA7" si="6">IF(OR($I$7="",$I$7=0),IF(V$2&lt;$U$7,"Vacant","Relet"),IF(ISTEXT($I$7),IF($U$7&gt;0,IF(V$2&lt;$U$7,"Downtime","Relet"),IF(V$2&lt;=$O$7,"Downtime","Relet")),IF($I$7&lt;=Close_Date,IF(V$2&lt;=$O$7,"Downtime","Relet"),IF(V$2&lt;=DATEDIF(Close_Date,$I$7,"M"),"In-Term",IF(V$2&lt;=DATEDIF(Close_Date,$I$7,"M")+$O$7,"Downtime","Relet")))))</f>
        <v>Vacant</v>
      </c>
      <c r="W7" s="149" t="str">
        <f t="shared" si="6"/>
        <v>Vacant</v>
      </c>
      <c r="X7" s="149" t="str">
        <f t="shared" si="6"/>
        <v>Vacant</v>
      </c>
      <c r="Y7" s="149" t="str">
        <f t="shared" si="6"/>
        <v>Vacant</v>
      </c>
      <c r="Z7" s="149" t="str">
        <f t="shared" si="6"/>
        <v>Vacant</v>
      </c>
      <c r="AA7" s="149" t="str">
        <f t="shared" si="6"/>
        <v>Relet</v>
      </c>
      <c r="AB7" s="149" t="str">
        <f t="shared" si="6"/>
        <v>Relet</v>
      </c>
      <c r="AC7" s="149" t="str">
        <f t="shared" si="6"/>
        <v>Relet</v>
      </c>
      <c r="AD7" s="149" t="str">
        <f t="shared" si="6"/>
        <v>Relet</v>
      </c>
      <c r="AE7" s="149" t="str">
        <f t="shared" si="6"/>
        <v>Relet</v>
      </c>
      <c r="AF7" s="149" t="str">
        <f t="shared" si="6"/>
        <v>Relet</v>
      </c>
      <c r="AG7" s="149" t="str">
        <f t="shared" si="6"/>
        <v>Relet</v>
      </c>
      <c r="AH7" s="149" t="str">
        <f t="shared" si="6"/>
        <v>Relet</v>
      </c>
      <c r="AI7" s="149" t="str">
        <f t="shared" si="6"/>
        <v>Relet</v>
      </c>
      <c r="AJ7" s="149" t="str">
        <f t="shared" si="6"/>
        <v>Relet</v>
      </c>
      <c r="AK7" s="149" t="str">
        <f t="shared" si="6"/>
        <v>Relet</v>
      </c>
      <c r="AL7" s="149" t="str">
        <f t="shared" si="6"/>
        <v>Relet</v>
      </c>
      <c r="AM7" s="149" t="str">
        <f t="shared" si="6"/>
        <v>Relet</v>
      </c>
      <c r="AN7" s="149" t="str">
        <f t="shared" si="6"/>
        <v>Relet</v>
      </c>
      <c r="AO7" s="149" t="str">
        <f t="shared" si="6"/>
        <v>Relet</v>
      </c>
      <c r="AP7" s="149" t="str">
        <f t="shared" si="6"/>
        <v>Relet</v>
      </c>
      <c r="AQ7" s="149" t="str">
        <f t="shared" si="6"/>
        <v>Relet</v>
      </c>
      <c r="AR7" s="149" t="str">
        <f t="shared" si="6"/>
        <v>Relet</v>
      </c>
      <c r="AS7" s="149" t="str">
        <f t="shared" si="6"/>
        <v>Relet</v>
      </c>
      <c r="AT7" s="149" t="str">
        <f t="shared" si="6"/>
        <v>Relet</v>
      </c>
      <c r="AU7" s="149" t="str">
        <f t="shared" si="6"/>
        <v>Relet</v>
      </c>
      <c r="AV7" s="149" t="str">
        <f t="shared" si="6"/>
        <v>Relet</v>
      </c>
      <c r="AW7" s="149" t="str">
        <f t="shared" si="6"/>
        <v>Relet</v>
      </c>
      <c r="AX7" s="149" t="str">
        <f t="shared" si="6"/>
        <v>Relet</v>
      </c>
      <c r="AY7" s="149" t="str">
        <f t="shared" si="6"/>
        <v>Relet</v>
      </c>
      <c r="AZ7" s="149" t="str">
        <f t="shared" si="6"/>
        <v>Relet</v>
      </c>
      <c r="BA7" s="149" t="str">
        <f t="shared" si="6"/>
        <v>Relet</v>
      </c>
      <c r="BB7" s="149" t="str">
        <f t="shared" ref="BB7:CD7" si="7">IF(OR($I$7="",$I$7=0),IF(BB$2&lt;$U$7,"Vacant","Relet"),IF(ISTEXT($I$7),IF($U$7&gt;0,IF(BB$2&lt;$U$7,"Downtime","Relet"),IF(BB$2&lt;=$O$7,"Downtime","Relet")),IF($I$7&lt;=Close_Date,IF(BB$2&lt;=$O$7,"Downtime","Relet"),IF(BB$2&lt;=DATEDIF(Close_Date,$I$7,"M"),"In-Term",IF(BB$2&lt;=DATEDIF(Close_Date,$I$7,"M")+$O$7,"Downtime","Relet")))))</f>
        <v>Relet</v>
      </c>
      <c r="BC7" s="149" t="str">
        <f t="shared" si="7"/>
        <v>Relet</v>
      </c>
      <c r="BD7" s="149" t="str">
        <f t="shared" si="7"/>
        <v>Relet</v>
      </c>
      <c r="BE7" s="149" t="str">
        <f t="shared" si="7"/>
        <v>Relet</v>
      </c>
      <c r="BF7" s="149" t="str">
        <f t="shared" si="7"/>
        <v>Relet</v>
      </c>
      <c r="BG7" s="149" t="str">
        <f t="shared" si="7"/>
        <v>Relet</v>
      </c>
      <c r="BH7" s="149" t="str">
        <f t="shared" si="7"/>
        <v>Relet</v>
      </c>
      <c r="BI7" s="149" t="str">
        <f t="shared" si="7"/>
        <v>Relet</v>
      </c>
      <c r="BJ7" s="149" t="str">
        <f t="shared" si="7"/>
        <v>Relet</v>
      </c>
      <c r="BK7" s="149" t="str">
        <f t="shared" si="7"/>
        <v>Relet</v>
      </c>
      <c r="BL7" s="149" t="str">
        <f t="shared" si="7"/>
        <v>Relet</v>
      </c>
      <c r="BM7" s="149" t="str">
        <f t="shared" si="7"/>
        <v>Relet</v>
      </c>
      <c r="BN7" s="149" t="str">
        <f t="shared" si="7"/>
        <v>Relet</v>
      </c>
      <c r="BO7" s="149" t="str">
        <f t="shared" si="7"/>
        <v>Relet</v>
      </c>
      <c r="BP7" s="149" t="str">
        <f t="shared" si="7"/>
        <v>Relet</v>
      </c>
      <c r="BQ7" s="149" t="str">
        <f t="shared" si="7"/>
        <v>Relet</v>
      </c>
      <c r="BR7" s="149" t="str">
        <f t="shared" si="7"/>
        <v>Relet</v>
      </c>
      <c r="BS7" s="149" t="str">
        <f t="shared" si="7"/>
        <v>Relet</v>
      </c>
      <c r="BT7" s="149" t="str">
        <f t="shared" si="7"/>
        <v>Relet</v>
      </c>
      <c r="BU7" s="149" t="str">
        <f t="shared" si="7"/>
        <v>Relet</v>
      </c>
      <c r="BV7" s="149" t="str">
        <f t="shared" si="7"/>
        <v>Relet</v>
      </c>
      <c r="BW7" s="149" t="str">
        <f t="shared" si="7"/>
        <v>Relet</v>
      </c>
      <c r="BX7" s="149" t="str">
        <f t="shared" si="7"/>
        <v>Relet</v>
      </c>
      <c r="BY7" s="149" t="str">
        <f t="shared" si="7"/>
        <v>Relet</v>
      </c>
      <c r="BZ7" s="149" t="str">
        <f t="shared" si="7"/>
        <v>Relet</v>
      </c>
      <c r="CA7" s="149" t="str">
        <f t="shared" si="7"/>
        <v>Relet</v>
      </c>
      <c r="CB7" s="149" t="str">
        <f t="shared" si="7"/>
        <v>Relet</v>
      </c>
      <c r="CC7" s="149" t="str">
        <f t="shared" si="7"/>
        <v>Relet</v>
      </c>
      <c r="CD7" s="149" t="str">
        <f t="shared" si="7"/>
        <v>Relet</v>
      </c>
    </row>
    <row r="8" spans="1:141" x14ac:dyDescent="0.2">
      <c r="A8" s="157"/>
      <c r="B8" s="158" t="s">
        <v>203</v>
      </c>
      <c r="C8" s="157"/>
      <c r="D8" s="157"/>
      <c r="E8" s="157"/>
      <c r="F8" s="157"/>
      <c r="G8" s="157"/>
      <c r="H8" s="157"/>
      <c r="I8" s="157"/>
      <c r="J8" s="152"/>
      <c r="K8" s="157"/>
      <c r="L8" s="157"/>
      <c r="M8" s="182"/>
      <c r="N8" s="186"/>
      <c r="O8" s="157"/>
      <c r="P8" s="182"/>
      <c r="Q8" s="182"/>
      <c r="R8" s="182"/>
      <c r="S8" s="182"/>
      <c r="T8" s="157"/>
      <c r="U8" s="171"/>
      <c r="V8" s="175">
        <f t="shared" ref="V8:BA8" si="8">IF(V7="Vacant",0,IF(V7="In-Term",$F$7*(1+$G$7)^(INT((V$2-1)/12)),IF(AND(V7="Downtime",ISTEXT($I$7)),$F$7,$J$7*(1+$M$7)^(INT((V$2-1)/12)))))</f>
        <v>0</v>
      </c>
      <c r="W8" s="153">
        <f t="shared" si="8"/>
        <v>0</v>
      </c>
      <c r="X8" s="153">
        <f t="shared" si="8"/>
        <v>0</v>
      </c>
      <c r="Y8" s="153">
        <f t="shared" si="8"/>
        <v>0</v>
      </c>
      <c r="Z8" s="153">
        <f t="shared" si="8"/>
        <v>0</v>
      </c>
      <c r="AA8" s="153">
        <f t="shared" si="8"/>
        <v>1</v>
      </c>
      <c r="AB8" s="153">
        <f t="shared" si="8"/>
        <v>1</v>
      </c>
      <c r="AC8" s="153">
        <f t="shared" si="8"/>
        <v>1</v>
      </c>
      <c r="AD8" s="153">
        <f t="shared" si="8"/>
        <v>1</v>
      </c>
      <c r="AE8" s="153">
        <f t="shared" si="8"/>
        <v>1</v>
      </c>
      <c r="AF8" s="153">
        <f t="shared" si="8"/>
        <v>1</v>
      </c>
      <c r="AG8" s="153">
        <f t="shared" si="8"/>
        <v>1</v>
      </c>
      <c r="AH8" s="153">
        <f t="shared" si="8"/>
        <v>1.03</v>
      </c>
      <c r="AI8" s="153">
        <f t="shared" si="8"/>
        <v>1.03</v>
      </c>
      <c r="AJ8" s="153">
        <f t="shared" si="8"/>
        <v>1.03</v>
      </c>
      <c r="AK8" s="153">
        <f t="shared" si="8"/>
        <v>1.03</v>
      </c>
      <c r="AL8" s="153">
        <f t="shared" si="8"/>
        <v>1.03</v>
      </c>
      <c r="AM8" s="153">
        <f t="shared" si="8"/>
        <v>1.03</v>
      </c>
      <c r="AN8" s="153">
        <f t="shared" si="8"/>
        <v>1.03</v>
      </c>
      <c r="AO8" s="153">
        <f t="shared" si="8"/>
        <v>1.03</v>
      </c>
      <c r="AP8" s="153">
        <f t="shared" si="8"/>
        <v>1.03</v>
      </c>
      <c r="AQ8" s="153">
        <f t="shared" si="8"/>
        <v>1.03</v>
      </c>
      <c r="AR8" s="153">
        <f t="shared" si="8"/>
        <v>1.03</v>
      </c>
      <c r="AS8" s="153">
        <f t="shared" si="8"/>
        <v>1.03</v>
      </c>
      <c r="AT8" s="153">
        <f t="shared" si="8"/>
        <v>1.0609</v>
      </c>
      <c r="AU8" s="153">
        <f t="shared" si="8"/>
        <v>1.0609</v>
      </c>
      <c r="AV8" s="153">
        <f t="shared" si="8"/>
        <v>1.0609</v>
      </c>
      <c r="AW8" s="153">
        <f t="shared" si="8"/>
        <v>1.0609</v>
      </c>
      <c r="AX8" s="153">
        <f t="shared" si="8"/>
        <v>1.0609</v>
      </c>
      <c r="AY8" s="153">
        <f t="shared" si="8"/>
        <v>1.0609</v>
      </c>
      <c r="AZ8" s="153">
        <f t="shared" si="8"/>
        <v>1.0609</v>
      </c>
      <c r="BA8" s="153">
        <f t="shared" si="8"/>
        <v>1.0609</v>
      </c>
      <c r="BB8" s="153">
        <f t="shared" ref="BB8:CD8" si="9">IF(BB7="Vacant",0,IF(BB7="In-Term",$F$7*(1+$G$7)^(INT((BB$2-1)/12)),IF(AND(BB7="Downtime",ISTEXT($I$7)),$F$7,$J$7*(1+$M$7)^(INT((BB$2-1)/12)))))</f>
        <v>1.0609</v>
      </c>
      <c r="BC8" s="153">
        <f t="shared" si="9"/>
        <v>1.0609</v>
      </c>
      <c r="BD8" s="153">
        <f t="shared" si="9"/>
        <v>1.0609</v>
      </c>
      <c r="BE8" s="153">
        <f t="shared" si="9"/>
        <v>1.0609</v>
      </c>
      <c r="BF8" s="153">
        <f t="shared" si="9"/>
        <v>1.092727</v>
      </c>
      <c r="BG8" s="153">
        <f t="shared" si="9"/>
        <v>1.092727</v>
      </c>
      <c r="BH8" s="153">
        <f t="shared" si="9"/>
        <v>1.092727</v>
      </c>
      <c r="BI8" s="153">
        <f t="shared" si="9"/>
        <v>1.092727</v>
      </c>
      <c r="BJ8" s="153">
        <f t="shared" si="9"/>
        <v>1.092727</v>
      </c>
      <c r="BK8" s="153">
        <f t="shared" si="9"/>
        <v>1.092727</v>
      </c>
      <c r="BL8" s="153">
        <f t="shared" si="9"/>
        <v>1.092727</v>
      </c>
      <c r="BM8" s="153">
        <f t="shared" si="9"/>
        <v>1.092727</v>
      </c>
      <c r="BN8" s="153">
        <f t="shared" si="9"/>
        <v>1.092727</v>
      </c>
      <c r="BO8" s="153">
        <f t="shared" si="9"/>
        <v>1.092727</v>
      </c>
      <c r="BP8" s="153">
        <f t="shared" si="9"/>
        <v>1.092727</v>
      </c>
      <c r="BQ8" s="153">
        <f t="shared" si="9"/>
        <v>1.092727</v>
      </c>
      <c r="BR8" s="153">
        <f t="shared" si="9"/>
        <v>1.1255088099999999</v>
      </c>
      <c r="BS8" s="153">
        <f t="shared" si="9"/>
        <v>1.1255088099999999</v>
      </c>
      <c r="BT8" s="153">
        <f t="shared" si="9"/>
        <v>1.1255088099999999</v>
      </c>
      <c r="BU8" s="153">
        <f t="shared" si="9"/>
        <v>1.1255088099999999</v>
      </c>
      <c r="BV8" s="153">
        <f t="shared" si="9"/>
        <v>1.1255088099999999</v>
      </c>
      <c r="BW8" s="153">
        <f t="shared" si="9"/>
        <v>1.1255088099999999</v>
      </c>
      <c r="BX8" s="153">
        <f t="shared" si="9"/>
        <v>1.1255088099999999</v>
      </c>
      <c r="BY8" s="153">
        <f t="shared" si="9"/>
        <v>1.1255088099999999</v>
      </c>
      <c r="BZ8" s="153">
        <f t="shared" si="9"/>
        <v>1.1255088099999999</v>
      </c>
      <c r="CA8" s="153">
        <f t="shared" si="9"/>
        <v>1.1255088099999999</v>
      </c>
      <c r="CB8" s="153">
        <f t="shared" si="9"/>
        <v>1.1255088099999999</v>
      </c>
      <c r="CC8" s="153">
        <f t="shared" si="9"/>
        <v>1.1255088099999999</v>
      </c>
      <c r="CD8" s="153">
        <f t="shared" si="9"/>
        <v>1.1592740742999998</v>
      </c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</row>
    <row r="9" spans="1:141" x14ac:dyDescent="0.2">
      <c r="A9" s="157"/>
      <c r="B9" s="158" t="s">
        <v>204</v>
      </c>
      <c r="C9" s="157"/>
      <c r="D9" s="157"/>
      <c r="E9" s="157"/>
      <c r="F9" s="157"/>
      <c r="G9" s="157"/>
      <c r="H9" s="157"/>
      <c r="I9" s="157"/>
      <c r="J9" s="152"/>
      <c r="K9" s="157"/>
      <c r="L9" s="157"/>
      <c r="M9" s="182"/>
      <c r="N9" s="186"/>
      <c r="O9" s="157"/>
      <c r="P9" s="182"/>
      <c r="Q9" s="182"/>
      <c r="R9" s="182"/>
      <c r="S9" s="182"/>
      <c r="T9" s="157"/>
      <c r="U9" s="171"/>
      <c r="V9" s="176">
        <f t="shared" ref="V9:BA9" si="10">IF(V7="Vacant",0,IF(V7="Downtime",$N$7*V8*$C$7,V8*$C$7))</f>
        <v>0</v>
      </c>
      <c r="W9" s="155">
        <f t="shared" si="10"/>
        <v>0</v>
      </c>
      <c r="X9" s="155">
        <f t="shared" si="10"/>
        <v>0</v>
      </c>
      <c r="Y9" s="155">
        <f t="shared" si="10"/>
        <v>0</v>
      </c>
      <c r="Z9" s="155">
        <f t="shared" si="10"/>
        <v>0</v>
      </c>
      <c r="AA9" s="155">
        <f t="shared" si="10"/>
        <v>910</v>
      </c>
      <c r="AB9" s="155">
        <f t="shared" si="10"/>
        <v>910</v>
      </c>
      <c r="AC9" s="155">
        <f t="shared" si="10"/>
        <v>910</v>
      </c>
      <c r="AD9" s="155">
        <f t="shared" si="10"/>
        <v>910</v>
      </c>
      <c r="AE9" s="155">
        <f t="shared" si="10"/>
        <v>910</v>
      </c>
      <c r="AF9" s="155">
        <f t="shared" si="10"/>
        <v>910</v>
      </c>
      <c r="AG9" s="155">
        <f t="shared" si="10"/>
        <v>910</v>
      </c>
      <c r="AH9" s="155">
        <f t="shared" si="10"/>
        <v>937.30000000000007</v>
      </c>
      <c r="AI9" s="155">
        <f t="shared" si="10"/>
        <v>937.30000000000007</v>
      </c>
      <c r="AJ9" s="155">
        <f t="shared" si="10"/>
        <v>937.30000000000007</v>
      </c>
      <c r="AK9" s="155">
        <f t="shared" si="10"/>
        <v>937.30000000000007</v>
      </c>
      <c r="AL9" s="155">
        <f t="shared" si="10"/>
        <v>937.30000000000007</v>
      </c>
      <c r="AM9" s="155">
        <f t="shared" si="10"/>
        <v>937.30000000000007</v>
      </c>
      <c r="AN9" s="155">
        <f t="shared" si="10"/>
        <v>937.30000000000007</v>
      </c>
      <c r="AO9" s="155">
        <f t="shared" si="10"/>
        <v>937.30000000000007</v>
      </c>
      <c r="AP9" s="155">
        <f t="shared" si="10"/>
        <v>937.30000000000007</v>
      </c>
      <c r="AQ9" s="155">
        <f t="shared" si="10"/>
        <v>937.30000000000007</v>
      </c>
      <c r="AR9" s="155">
        <f t="shared" si="10"/>
        <v>937.30000000000007</v>
      </c>
      <c r="AS9" s="155">
        <f t="shared" si="10"/>
        <v>937.30000000000007</v>
      </c>
      <c r="AT9" s="155">
        <f t="shared" si="10"/>
        <v>965.41899999999998</v>
      </c>
      <c r="AU9" s="155">
        <f t="shared" si="10"/>
        <v>965.41899999999998</v>
      </c>
      <c r="AV9" s="155">
        <f t="shared" si="10"/>
        <v>965.41899999999998</v>
      </c>
      <c r="AW9" s="155">
        <f t="shared" si="10"/>
        <v>965.41899999999998</v>
      </c>
      <c r="AX9" s="155">
        <f t="shared" si="10"/>
        <v>965.41899999999998</v>
      </c>
      <c r="AY9" s="155">
        <f t="shared" si="10"/>
        <v>965.41899999999998</v>
      </c>
      <c r="AZ9" s="155">
        <f t="shared" si="10"/>
        <v>965.41899999999998</v>
      </c>
      <c r="BA9" s="155">
        <f t="shared" si="10"/>
        <v>965.41899999999998</v>
      </c>
      <c r="BB9" s="155">
        <f t="shared" ref="BB9:CD9" si="11">IF(BB7="Vacant",0,IF(BB7="Downtime",$N$7*BB8*$C$7,BB8*$C$7))</f>
        <v>965.41899999999998</v>
      </c>
      <c r="BC9" s="155">
        <f t="shared" si="11"/>
        <v>965.41899999999998</v>
      </c>
      <c r="BD9" s="155">
        <f t="shared" si="11"/>
        <v>965.41899999999998</v>
      </c>
      <c r="BE9" s="155">
        <f t="shared" si="11"/>
        <v>965.41899999999998</v>
      </c>
      <c r="BF9" s="155">
        <f t="shared" si="11"/>
        <v>994.38157000000001</v>
      </c>
      <c r="BG9" s="155">
        <f t="shared" si="11"/>
        <v>994.38157000000001</v>
      </c>
      <c r="BH9" s="155">
        <f t="shared" si="11"/>
        <v>994.38157000000001</v>
      </c>
      <c r="BI9" s="155">
        <f t="shared" si="11"/>
        <v>994.38157000000001</v>
      </c>
      <c r="BJ9" s="155">
        <f t="shared" si="11"/>
        <v>994.38157000000001</v>
      </c>
      <c r="BK9" s="155">
        <f t="shared" si="11"/>
        <v>994.38157000000001</v>
      </c>
      <c r="BL9" s="155">
        <f t="shared" si="11"/>
        <v>994.38157000000001</v>
      </c>
      <c r="BM9" s="155">
        <f t="shared" si="11"/>
        <v>994.38157000000001</v>
      </c>
      <c r="BN9" s="155">
        <f t="shared" si="11"/>
        <v>994.38157000000001</v>
      </c>
      <c r="BO9" s="155">
        <f t="shared" si="11"/>
        <v>994.38157000000001</v>
      </c>
      <c r="BP9" s="155">
        <f t="shared" si="11"/>
        <v>994.38157000000001</v>
      </c>
      <c r="BQ9" s="155">
        <f t="shared" si="11"/>
        <v>994.38157000000001</v>
      </c>
      <c r="BR9" s="155">
        <f t="shared" si="11"/>
        <v>1024.2130170999999</v>
      </c>
      <c r="BS9" s="155">
        <f t="shared" si="11"/>
        <v>1024.2130170999999</v>
      </c>
      <c r="BT9" s="155">
        <f t="shared" si="11"/>
        <v>1024.2130170999999</v>
      </c>
      <c r="BU9" s="155">
        <f t="shared" si="11"/>
        <v>1024.2130170999999</v>
      </c>
      <c r="BV9" s="155">
        <f t="shared" si="11"/>
        <v>1024.2130170999999</v>
      </c>
      <c r="BW9" s="155">
        <f t="shared" si="11"/>
        <v>1024.2130170999999</v>
      </c>
      <c r="BX9" s="155">
        <f t="shared" si="11"/>
        <v>1024.2130170999999</v>
      </c>
      <c r="BY9" s="155">
        <f t="shared" si="11"/>
        <v>1024.2130170999999</v>
      </c>
      <c r="BZ9" s="155">
        <f t="shared" si="11"/>
        <v>1024.2130170999999</v>
      </c>
      <c r="CA9" s="155">
        <f t="shared" si="11"/>
        <v>1024.2130170999999</v>
      </c>
      <c r="CB9" s="155">
        <f t="shared" si="11"/>
        <v>1024.2130170999999</v>
      </c>
      <c r="CC9" s="155">
        <f t="shared" si="11"/>
        <v>1024.2130170999999</v>
      </c>
      <c r="CD9" s="155">
        <f t="shared" si="11"/>
        <v>1054.939407613</v>
      </c>
      <c r="CE9" s="156"/>
      <c r="CF9" s="156"/>
      <c r="CG9" s="156"/>
      <c r="CH9" s="156"/>
      <c r="CI9" s="156"/>
      <c r="CJ9" s="156"/>
      <c r="CK9" s="156"/>
      <c r="CL9" s="156"/>
      <c r="CM9" s="156"/>
      <c r="CN9" s="156"/>
      <c r="CO9" s="156"/>
      <c r="CP9" s="156"/>
      <c r="CQ9" s="156"/>
      <c r="CR9" s="156"/>
      <c r="CS9" s="156"/>
      <c r="CT9" s="156"/>
      <c r="CU9" s="156"/>
      <c r="CV9" s="156"/>
      <c r="CW9" s="156"/>
      <c r="CX9" s="156"/>
      <c r="CY9" s="156"/>
      <c r="CZ9" s="156"/>
      <c r="DA9" s="156"/>
      <c r="DB9" s="156"/>
      <c r="DC9" s="156"/>
      <c r="DD9" s="156"/>
      <c r="DE9" s="156"/>
      <c r="DF9" s="156"/>
      <c r="DG9" s="156"/>
      <c r="DH9" s="156"/>
      <c r="DI9" s="156"/>
      <c r="DJ9" s="156"/>
      <c r="DK9" s="156"/>
      <c r="DL9" s="156"/>
      <c r="DM9" s="156"/>
      <c r="DN9" s="156"/>
      <c r="DO9" s="156"/>
      <c r="DP9" s="156"/>
      <c r="DQ9" s="156"/>
      <c r="DR9" s="156"/>
      <c r="DS9" s="156"/>
      <c r="DT9" s="156"/>
      <c r="DU9" s="156"/>
      <c r="DV9" s="156"/>
      <c r="DW9" s="156"/>
      <c r="DX9" s="156"/>
      <c r="DY9" s="156"/>
      <c r="DZ9" s="156"/>
      <c r="EA9" s="156"/>
      <c r="EB9" s="156"/>
      <c r="EC9" s="156"/>
      <c r="ED9" s="156"/>
      <c r="EE9" s="156"/>
      <c r="EF9" s="156"/>
      <c r="EG9" s="156"/>
      <c r="EH9" s="156"/>
      <c r="EI9" s="156"/>
      <c r="EJ9" s="156"/>
      <c r="EK9" s="156"/>
    </row>
    <row r="10" spans="1:141" x14ac:dyDescent="0.2">
      <c r="A10" s="125" t="str">
        <f>'OM Rent Roll'!A7</f>
        <v>4949 C</v>
      </c>
      <c r="B10" s="125" t="str">
        <f>'OM Rent Roll'!B7</f>
        <v>Circle Pizza</v>
      </c>
      <c r="C10" s="126">
        <f>'OM Rent Roll'!C7</f>
        <v>3620</v>
      </c>
      <c r="D10" s="63">
        <f>C10/NRA</f>
        <v>0.20246085011185683</v>
      </c>
      <c r="E10" s="125" t="str">
        <f>'OM Rent Roll'!D7</f>
        <v>NNN</v>
      </c>
      <c r="F10" s="127">
        <f>'OM Rent Roll'!G7</f>
        <v>1.4088397790055249</v>
      </c>
      <c r="G10" s="129">
        <f>'OM Rent Roll'!H7</f>
        <v>1.9607843137254832E-2</v>
      </c>
      <c r="H10" s="148">
        <f>IF('OM Rent Roll'!E7=0,"",'OM Rent Roll'!E7)</f>
        <v>45962</v>
      </c>
      <c r="I10" s="148">
        <f>IF('OM Rent Roll'!F7=0,"",'OM Rent Roll'!F7)</f>
        <v>47787</v>
      </c>
      <c r="J10" s="128">
        <v>1</v>
      </c>
      <c r="K10" s="60">
        <v>60</v>
      </c>
      <c r="L10" s="60">
        <v>36</v>
      </c>
      <c r="M10" s="179">
        <f>Rent_Growth</f>
        <v>0.03</v>
      </c>
      <c r="N10" s="183">
        <v>0.75</v>
      </c>
      <c r="O10" s="60">
        <v>6</v>
      </c>
      <c r="P10" s="188">
        <v>25</v>
      </c>
      <c r="Q10" s="188">
        <v>5</v>
      </c>
      <c r="R10" s="179">
        <v>0.06</v>
      </c>
      <c r="S10" s="179">
        <v>0.03</v>
      </c>
      <c r="T10" s="60" t="s">
        <v>202</v>
      </c>
      <c r="U10" s="168">
        <v>0</v>
      </c>
      <c r="V10" s="174" t="str">
        <f t="shared" ref="V10:BA10" si="12">IF(OR($I$10="",$I$10=0),IF(V$2&lt;$U$10,"Vacant","Relet"),IF(ISTEXT($I$10),IF($U$10&gt;0,IF(V$2&lt;$U$10,"Downtime","Relet"),IF(V$2&lt;=$O$10,"Downtime","Relet")),IF($I$10&lt;=Close_Date,IF(V$2&lt;=$O$10,"Downtime","Relet"),IF(V$2&lt;=DATEDIF(Close_Date,$I$10,"M"),"In-Term",IF(V$2&lt;=DATEDIF(Close_Date,$I$10,"M")+$O$10,"Downtime","Relet")))))</f>
        <v>In-Term</v>
      </c>
      <c r="W10" s="149" t="str">
        <f t="shared" si="12"/>
        <v>In-Term</v>
      </c>
      <c r="X10" s="149" t="str">
        <f t="shared" si="12"/>
        <v>In-Term</v>
      </c>
      <c r="Y10" s="149" t="str">
        <f t="shared" si="12"/>
        <v>In-Term</v>
      </c>
      <c r="Z10" s="149" t="str">
        <f t="shared" si="12"/>
        <v>In-Term</v>
      </c>
      <c r="AA10" s="149" t="str">
        <f t="shared" si="12"/>
        <v>In-Term</v>
      </c>
      <c r="AB10" s="149" t="str">
        <f t="shared" si="12"/>
        <v>In-Term</v>
      </c>
      <c r="AC10" s="149" t="str">
        <f t="shared" si="12"/>
        <v>In-Term</v>
      </c>
      <c r="AD10" s="149" t="str">
        <f t="shared" si="12"/>
        <v>In-Term</v>
      </c>
      <c r="AE10" s="149" t="str">
        <f t="shared" si="12"/>
        <v>In-Term</v>
      </c>
      <c r="AF10" s="149" t="str">
        <f t="shared" si="12"/>
        <v>In-Term</v>
      </c>
      <c r="AG10" s="149" t="str">
        <f t="shared" si="12"/>
        <v>In-Term</v>
      </c>
      <c r="AH10" s="149" t="str">
        <f t="shared" si="12"/>
        <v>In-Term</v>
      </c>
      <c r="AI10" s="149" t="str">
        <f t="shared" si="12"/>
        <v>In-Term</v>
      </c>
      <c r="AJ10" s="149" t="str">
        <f t="shared" si="12"/>
        <v>In-Term</v>
      </c>
      <c r="AK10" s="149" t="str">
        <f t="shared" si="12"/>
        <v>In-Term</v>
      </c>
      <c r="AL10" s="149" t="str">
        <f t="shared" si="12"/>
        <v>In-Term</v>
      </c>
      <c r="AM10" s="149" t="str">
        <f t="shared" si="12"/>
        <v>In-Term</v>
      </c>
      <c r="AN10" s="149" t="str">
        <f t="shared" si="12"/>
        <v>In-Term</v>
      </c>
      <c r="AO10" s="149" t="str">
        <f t="shared" si="12"/>
        <v>In-Term</v>
      </c>
      <c r="AP10" s="149" t="str">
        <f t="shared" si="12"/>
        <v>In-Term</v>
      </c>
      <c r="AQ10" s="149" t="str">
        <f t="shared" si="12"/>
        <v>In-Term</v>
      </c>
      <c r="AR10" s="149" t="str">
        <f t="shared" si="12"/>
        <v>In-Term</v>
      </c>
      <c r="AS10" s="149" t="str">
        <f t="shared" si="12"/>
        <v>In-Term</v>
      </c>
      <c r="AT10" s="149" t="str">
        <f t="shared" si="12"/>
        <v>In-Term</v>
      </c>
      <c r="AU10" s="149" t="str">
        <f t="shared" si="12"/>
        <v>In-Term</v>
      </c>
      <c r="AV10" s="149" t="str">
        <f t="shared" si="12"/>
        <v>In-Term</v>
      </c>
      <c r="AW10" s="149" t="str">
        <f t="shared" si="12"/>
        <v>In-Term</v>
      </c>
      <c r="AX10" s="149" t="str">
        <f t="shared" si="12"/>
        <v>In-Term</v>
      </c>
      <c r="AY10" s="149" t="str">
        <f t="shared" si="12"/>
        <v>In-Term</v>
      </c>
      <c r="AZ10" s="149" t="str">
        <f t="shared" si="12"/>
        <v>In-Term</v>
      </c>
      <c r="BA10" s="149" t="str">
        <f t="shared" si="12"/>
        <v>In-Term</v>
      </c>
      <c r="BB10" s="149" t="str">
        <f t="shared" ref="BB10:CD10" si="13">IF(OR($I$10="",$I$10=0),IF(BB$2&lt;$U$10,"Vacant","Relet"),IF(ISTEXT($I$10),IF($U$10&gt;0,IF(BB$2&lt;$U$10,"Downtime","Relet"),IF(BB$2&lt;=$O$10,"Downtime","Relet")),IF($I$10&lt;=Close_Date,IF(BB$2&lt;=$O$10,"Downtime","Relet"),IF(BB$2&lt;=DATEDIF(Close_Date,$I$10,"M"),"In-Term",IF(BB$2&lt;=DATEDIF(Close_Date,$I$10,"M")+$O$10,"Downtime","Relet")))))</f>
        <v>In-Term</v>
      </c>
      <c r="BC10" s="149" t="str">
        <f t="shared" si="13"/>
        <v>In-Term</v>
      </c>
      <c r="BD10" s="149" t="str">
        <f t="shared" si="13"/>
        <v>In-Term</v>
      </c>
      <c r="BE10" s="149" t="str">
        <f t="shared" si="13"/>
        <v>In-Term</v>
      </c>
      <c r="BF10" s="149" t="str">
        <f t="shared" si="13"/>
        <v>In-Term</v>
      </c>
      <c r="BG10" s="149" t="str">
        <f t="shared" si="13"/>
        <v>In-Term</v>
      </c>
      <c r="BH10" s="149" t="str">
        <f t="shared" si="13"/>
        <v>In-Term</v>
      </c>
      <c r="BI10" s="149" t="str">
        <f t="shared" si="13"/>
        <v>In-Term</v>
      </c>
      <c r="BJ10" s="149" t="str">
        <f t="shared" si="13"/>
        <v>In-Term</v>
      </c>
      <c r="BK10" s="149" t="str">
        <f t="shared" si="13"/>
        <v>In-Term</v>
      </c>
      <c r="BL10" s="149" t="str">
        <f t="shared" si="13"/>
        <v>In-Term</v>
      </c>
      <c r="BM10" s="149" t="str">
        <f t="shared" si="13"/>
        <v>In-Term</v>
      </c>
      <c r="BN10" s="149" t="str">
        <f t="shared" si="13"/>
        <v>In-Term</v>
      </c>
      <c r="BO10" s="149" t="str">
        <f t="shared" si="13"/>
        <v>In-Term</v>
      </c>
      <c r="BP10" s="149" t="str">
        <f t="shared" si="13"/>
        <v>In-Term</v>
      </c>
      <c r="BQ10" s="149" t="str">
        <f t="shared" si="13"/>
        <v>In-Term</v>
      </c>
      <c r="BR10" s="149" t="str">
        <f t="shared" si="13"/>
        <v>In-Term</v>
      </c>
      <c r="BS10" s="149" t="str">
        <f t="shared" si="13"/>
        <v>In-Term</v>
      </c>
      <c r="BT10" s="149" t="str">
        <f t="shared" si="13"/>
        <v>In-Term</v>
      </c>
      <c r="BU10" s="149" t="str">
        <f t="shared" si="13"/>
        <v>In-Term</v>
      </c>
      <c r="BV10" s="149" t="str">
        <f t="shared" si="13"/>
        <v>In-Term</v>
      </c>
      <c r="BW10" s="149" t="str">
        <f t="shared" si="13"/>
        <v>Downtime</v>
      </c>
      <c r="BX10" s="149" t="str">
        <f t="shared" si="13"/>
        <v>Downtime</v>
      </c>
      <c r="BY10" s="149" t="str">
        <f t="shared" si="13"/>
        <v>Downtime</v>
      </c>
      <c r="BZ10" s="149" t="str">
        <f t="shared" si="13"/>
        <v>Downtime</v>
      </c>
      <c r="CA10" s="149" t="str">
        <f t="shared" si="13"/>
        <v>Downtime</v>
      </c>
      <c r="CB10" s="149" t="str">
        <f t="shared" si="13"/>
        <v>Downtime</v>
      </c>
      <c r="CC10" s="149" t="str">
        <f t="shared" si="13"/>
        <v>Relet</v>
      </c>
      <c r="CD10" s="149" t="str">
        <f t="shared" si="13"/>
        <v>Relet</v>
      </c>
    </row>
    <row r="11" spans="1:141" x14ac:dyDescent="0.2">
      <c r="A11" s="150"/>
      <c r="B11" s="151" t="s">
        <v>203</v>
      </c>
      <c r="C11" s="150"/>
      <c r="D11" s="150"/>
      <c r="E11" s="150"/>
      <c r="F11" s="150"/>
      <c r="G11" s="150"/>
      <c r="H11" s="150"/>
      <c r="I11" s="150"/>
      <c r="J11" s="152"/>
      <c r="K11" s="150"/>
      <c r="L11" s="150"/>
      <c r="M11" s="180"/>
      <c r="N11" s="184"/>
      <c r="O11" s="150"/>
      <c r="P11" s="180"/>
      <c r="Q11" s="180"/>
      <c r="R11" s="180"/>
      <c r="S11" s="180"/>
      <c r="T11" s="150"/>
      <c r="U11" s="169"/>
      <c r="V11" s="175">
        <f t="shared" ref="V11:BA11" si="14">IF(V10="Vacant",0,IF(V10="In-Term",$F$10*(1+$G$10)^(INT((V$2-1)/12)),IF(AND(V10="Downtime",ISTEXT($I$10)),$F$10,$J$10*(1+$M$10)^(INT((V$2-1)/12)))))</f>
        <v>1.4088397790055249</v>
      </c>
      <c r="W11" s="153">
        <f t="shared" si="14"/>
        <v>1.4088397790055249</v>
      </c>
      <c r="X11" s="153">
        <f t="shared" si="14"/>
        <v>1.4088397790055249</v>
      </c>
      <c r="Y11" s="153">
        <f t="shared" si="14"/>
        <v>1.4088397790055249</v>
      </c>
      <c r="Z11" s="153">
        <f t="shared" si="14"/>
        <v>1.4088397790055249</v>
      </c>
      <c r="AA11" s="153">
        <f t="shared" si="14"/>
        <v>1.4088397790055249</v>
      </c>
      <c r="AB11" s="153">
        <f t="shared" si="14"/>
        <v>1.4088397790055249</v>
      </c>
      <c r="AC11" s="153">
        <f t="shared" si="14"/>
        <v>1.4088397790055249</v>
      </c>
      <c r="AD11" s="153">
        <f t="shared" si="14"/>
        <v>1.4088397790055249</v>
      </c>
      <c r="AE11" s="153">
        <f t="shared" si="14"/>
        <v>1.4088397790055249</v>
      </c>
      <c r="AF11" s="153">
        <f t="shared" si="14"/>
        <v>1.4088397790055249</v>
      </c>
      <c r="AG11" s="153">
        <f t="shared" si="14"/>
        <v>1.4088397790055249</v>
      </c>
      <c r="AH11" s="153">
        <f t="shared" si="14"/>
        <v>1.4364640883977899</v>
      </c>
      <c r="AI11" s="153">
        <f t="shared" si="14"/>
        <v>1.4364640883977899</v>
      </c>
      <c r="AJ11" s="153">
        <f t="shared" si="14"/>
        <v>1.4364640883977899</v>
      </c>
      <c r="AK11" s="153">
        <f t="shared" si="14"/>
        <v>1.4364640883977899</v>
      </c>
      <c r="AL11" s="153">
        <f t="shared" si="14"/>
        <v>1.4364640883977899</v>
      </c>
      <c r="AM11" s="153">
        <f t="shared" si="14"/>
        <v>1.4364640883977899</v>
      </c>
      <c r="AN11" s="153">
        <f t="shared" si="14"/>
        <v>1.4364640883977899</v>
      </c>
      <c r="AO11" s="153">
        <f t="shared" si="14"/>
        <v>1.4364640883977899</v>
      </c>
      <c r="AP11" s="153">
        <f t="shared" si="14"/>
        <v>1.4364640883977899</v>
      </c>
      <c r="AQ11" s="153">
        <f t="shared" si="14"/>
        <v>1.4364640883977899</v>
      </c>
      <c r="AR11" s="153">
        <f t="shared" si="14"/>
        <v>1.4364640883977899</v>
      </c>
      <c r="AS11" s="153">
        <f t="shared" si="14"/>
        <v>1.4364640883977899</v>
      </c>
      <c r="AT11" s="153">
        <f t="shared" si="14"/>
        <v>1.4646300509153936</v>
      </c>
      <c r="AU11" s="153">
        <f t="shared" si="14"/>
        <v>1.4646300509153936</v>
      </c>
      <c r="AV11" s="153">
        <f t="shared" si="14"/>
        <v>1.4646300509153936</v>
      </c>
      <c r="AW11" s="153">
        <f t="shared" si="14"/>
        <v>1.4646300509153936</v>
      </c>
      <c r="AX11" s="153">
        <f t="shared" si="14"/>
        <v>1.4646300509153936</v>
      </c>
      <c r="AY11" s="153">
        <f t="shared" si="14"/>
        <v>1.4646300509153936</v>
      </c>
      <c r="AZ11" s="153">
        <f t="shared" si="14"/>
        <v>1.4646300509153936</v>
      </c>
      <c r="BA11" s="153">
        <f t="shared" si="14"/>
        <v>1.4646300509153936</v>
      </c>
      <c r="BB11" s="153">
        <f t="shared" ref="BB11:CD11" si="15">IF(BB10="Vacant",0,IF(BB10="In-Term",$F$10*(1+$G$10)^(INT((BB$2-1)/12)),IF(AND(BB10="Downtime",ISTEXT($I$10)),$F$10,$J$10*(1+$M$10)^(INT((BB$2-1)/12)))))</f>
        <v>1.4646300509153936</v>
      </c>
      <c r="BC11" s="153">
        <f t="shared" si="15"/>
        <v>1.4646300509153936</v>
      </c>
      <c r="BD11" s="153">
        <f t="shared" si="15"/>
        <v>1.4646300509153936</v>
      </c>
      <c r="BE11" s="153">
        <f t="shared" si="15"/>
        <v>1.4646300509153936</v>
      </c>
      <c r="BF11" s="153">
        <f t="shared" si="15"/>
        <v>1.4933482872078523</v>
      </c>
      <c r="BG11" s="153">
        <f t="shared" si="15"/>
        <v>1.4933482872078523</v>
      </c>
      <c r="BH11" s="153">
        <f t="shared" si="15"/>
        <v>1.4933482872078523</v>
      </c>
      <c r="BI11" s="153">
        <f t="shared" si="15"/>
        <v>1.4933482872078523</v>
      </c>
      <c r="BJ11" s="153">
        <f t="shared" si="15"/>
        <v>1.4933482872078523</v>
      </c>
      <c r="BK11" s="153">
        <f t="shared" si="15"/>
        <v>1.4933482872078523</v>
      </c>
      <c r="BL11" s="153">
        <f t="shared" si="15"/>
        <v>1.4933482872078523</v>
      </c>
      <c r="BM11" s="153">
        <f t="shared" si="15"/>
        <v>1.4933482872078523</v>
      </c>
      <c r="BN11" s="153">
        <f t="shared" si="15"/>
        <v>1.4933482872078523</v>
      </c>
      <c r="BO11" s="153">
        <f t="shared" si="15"/>
        <v>1.4933482872078523</v>
      </c>
      <c r="BP11" s="153">
        <f t="shared" si="15"/>
        <v>1.4933482872078523</v>
      </c>
      <c r="BQ11" s="153">
        <f t="shared" si="15"/>
        <v>1.4933482872078523</v>
      </c>
      <c r="BR11" s="153">
        <f t="shared" si="15"/>
        <v>1.5226296261727119</v>
      </c>
      <c r="BS11" s="153">
        <f t="shared" si="15"/>
        <v>1.5226296261727119</v>
      </c>
      <c r="BT11" s="153">
        <f t="shared" si="15"/>
        <v>1.5226296261727119</v>
      </c>
      <c r="BU11" s="153">
        <f t="shared" si="15"/>
        <v>1.5226296261727119</v>
      </c>
      <c r="BV11" s="153">
        <f t="shared" si="15"/>
        <v>1.5226296261727119</v>
      </c>
      <c r="BW11" s="153">
        <f t="shared" si="15"/>
        <v>1.1255088099999999</v>
      </c>
      <c r="BX11" s="153">
        <f t="shared" si="15"/>
        <v>1.1255088099999999</v>
      </c>
      <c r="BY11" s="153">
        <f t="shared" si="15"/>
        <v>1.1255088099999999</v>
      </c>
      <c r="BZ11" s="153">
        <f t="shared" si="15"/>
        <v>1.1255088099999999</v>
      </c>
      <c r="CA11" s="153">
        <f t="shared" si="15"/>
        <v>1.1255088099999999</v>
      </c>
      <c r="CB11" s="153">
        <f t="shared" si="15"/>
        <v>1.1255088099999999</v>
      </c>
      <c r="CC11" s="153">
        <f t="shared" si="15"/>
        <v>1.1255088099999999</v>
      </c>
      <c r="CD11" s="153">
        <f t="shared" si="15"/>
        <v>1.1592740742999998</v>
      </c>
      <c r="CE11" s="154"/>
      <c r="CF11" s="154"/>
      <c r="CG11" s="154"/>
      <c r="CH11" s="154"/>
      <c r="CI11" s="154"/>
      <c r="CJ11" s="154"/>
      <c r="CK11" s="154"/>
      <c r="CL11" s="154"/>
      <c r="CM11" s="154"/>
      <c r="CN11" s="154"/>
      <c r="CO11" s="154"/>
      <c r="CP11" s="154"/>
      <c r="CQ11" s="154"/>
      <c r="CR11" s="154"/>
      <c r="CS11" s="154"/>
      <c r="CT11" s="154"/>
      <c r="CU11" s="154"/>
      <c r="CV11" s="154"/>
      <c r="CW11" s="154"/>
      <c r="CX11" s="154"/>
      <c r="CY11" s="154"/>
      <c r="CZ11" s="154"/>
      <c r="DA11" s="154"/>
      <c r="DB11" s="154"/>
      <c r="DC11" s="154"/>
      <c r="DD11" s="154"/>
      <c r="DE11" s="154"/>
      <c r="DF11" s="154"/>
      <c r="DG11" s="154"/>
      <c r="DH11" s="154"/>
      <c r="DI11" s="154"/>
      <c r="DJ11" s="154"/>
      <c r="DK11" s="154"/>
      <c r="DL11" s="154"/>
      <c r="DM11" s="154"/>
      <c r="DN11" s="154"/>
      <c r="DO11" s="154"/>
      <c r="DP11" s="154"/>
      <c r="DQ11" s="154"/>
      <c r="DR11" s="154"/>
      <c r="DS11" s="154"/>
      <c r="DT11" s="154"/>
      <c r="DU11" s="154"/>
      <c r="DV11" s="154"/>
      <c r="DW11" s="154"/>
      <c r="DX11" s="154"/>
      <c r="DY11" s="154"/>
      <c r="DZ11" s="154"/>
      <c r="EA11" s="154"/>
      <c r="EB11" s="154"/>
      <c r="EC11" s="154"/>
      <c r="ED11" s="154"/>
      <c r="EE11" s="154"/>
      <c r="EF11" s="154"/>
      <c r="EG11" s="154"/>
      <c r="EH11" s="154"/>
      <c r="EI11" s="154"/>
      <c r="EJ11" s="154"/>
      <c r="EK11" s="154"/>
    </row>
    <row r="12" spans="1:141" x14ac:dyDescent="0.2">
      <c r="A12" s="150"/>
      <c r="B12" s="151" t="s">
        <v>204</v>
      </c>
      <c r="C12" s="150"/>
      <c r="D12" s="150"/>
      <c r="E12" s="150"/>
      <c r="F12" s="150"/>
      <c r="G12" s="150"/>
      <c r="H12" s="150"/>
      <c r="I12" s="150"/>
      <c r="J12" s="152"/>
      <c r="K12" s="150"/>
      <c r="L12" s="150"/>
      <c r="M12" s="180"/>
      <c r="N12" s="184"/>
      <c r="O12" s="150"/>
      <c r="P12" s="180"/>
      <c r="Q12" s="180"/>
      <c r="R12" s="180"/>
      <c r="S12" s="180"/>
      <c r="T12" s="150"/>
      <c r="U12" s="169"/>
      <c r="V12" s="176">
        <f t="shared" ref="V12:BA12" si="16">IF(V10="Vacant",0,IF(V10="Downtime",$N$10*V11*$C$10,V11*$C$10))</f>
        <v>5100</v>
      </c>
      <c r="W12" s="155">
        <f t="shared" si="16"/>
        <v>5100</v>
      </c>
      <c r="X12" s="155">
        <f t="shared" si="16"/>
        <v>5100</v>
      </c>
      <c r="Y12" s="155">
        <f t="shared" si="16"/>
        <v>5100</v>
      </c>
      <c r="Z12" s="155">
        <f t="shared" si="16"/>
        <v>5100</v>
      </c>
      <c r="AA12" s="155">
        <f t="shared" si="16"/>
        <v>5100</v>
      </c>
      <c r="AB12" s="155">
        <f t="shared" si="16"/>
        <v>5100</v>
      </c>
      <c r="AC12" s="155">
        <f t="shared" si="16"/>
        <v>5100</v>
      </c>
      <c r="AD12" s="155">
        <f t="shared" si="16"/>
        <v>5100</v>
      </c>
      <c r="AE12" s="155">
        <f t="shared" si="16"/>
        <v>5100</v>
      </c>
      <c r="AF12" s="155">
        <f t="shared" si="16"/>
        <v>5100</v>
      </c>
      <c r="AG12" s="155">
        <f t="shared" si="16"/>
        <v>5100</v>
      </c>
      <c r="AH12" s="155">
        <f t="shared" si="16"/>
        <v>5200</v>
      </c>
      <c r="AI12" s="155">
        <f t="shared" si="16"/>
        <v>5200</v>
      </c>
      <c r="AJ12" s="155">
        <f t="shared" si="16"/>
        <v>5200</v>
      </c>
      <c r="AK12" s="155">
        <f t="shared" si="16"/>
        <v>5200</v>
      </c>
      <c r="AL12" s="155">
        <f t="shared" si="16"/>
        <v>5200</v>
      </c>
      <c r="AM12" s="155">
        <f t="shared" si="16"/>
        <v>5200</v>
      </c>
      <c r="AN12" s="155">
        <f t="shared" si="16"/>
        <v>5200</v>
      </c>
      <c r="AO12" s="155">
        <f t="shared" si="16"/>
        <v>5200</v>
      </c>
      <c r="AP12" s="155">
        <f t="shared" si="16"/>
        <v>5200</v>
      </c>
      <c r="AQ12" s="155">
        <f t="shared" si="16"/>
        <v>5200</v>
      </c>
      <c r="AR12" s="155">
        <f t="shared" si="16"/>
        <v>5200</v>
      </c>
      <c r="AS12" s="155">
        <f t="shared" si="16"/>
        <v>5200</v>
      </c>
      <c r="AT12" s="155">
        <f t="shared" si="16"/>
        <v>5301.9607843137246</v>
      </c>
      <c r="AU12" s="155">
        <f t="shared" si="16"/>
        <v>5301.9607843137246</v>
      </c>
      <c r="AV12" s="155">
        <f t="shared" si="16"/>
        <v>5301.9607843137246</v>
      </c>
      <c r="AW12" s="155">
        <f t="shared" si="16"/>
        <v>5301.9607843137246</v>
      </c>
      <c r="AX12" s="155">
        <f t="shared" si="16"/>
        <v>5301.9607843137246</v>
      </c>
      <c r="AY12" s="155">
        <f t="shared" si="16"/>
        <v>5301.9607843137246</v>
      </c>
      <c r="AZ12" s="155">
        <f t="shared" si="16"/>
        <v>5301.9607843137246</v>
      </c>
      <c r="BA12" s="155">
        <f t="shared" si="16"/>
        <v>5301.9607843137246</v>
      </c>
      <c r="BB12" s="155">
        <f t="shared" ref="BB12:CD12" si="17">IF(BB10="Vacant",0,IF(BB10="Downtime",$N$10*BB11*$C$10,BB11*$C$10))</f>
        <v>5301.9607843137246</v>
      </c>
      <c r="BC12" s="155">
        <f t="shared" si="17"/>
        <v>5301.9607843137246</v>
      </c>
      <c r="BD12" s="155">
        <f t="shared" si="17"/>
        <v>5301.9607843137246</v>
      </c>
      <c r="BE12" s="155">
        <f t="shared" si="17"/>
        <v>5301.9607843137246</v>
      </c>
      <c r="BF12" s="155">
        <f t="shared" si="17"/>
        <v>5405.9207996924251</v>
      </c>
      <c r="BG12" s="155">
        <f t="shared" si="17"/>
        <v>5405.9207996924251</v>
      </c>
      <c r="BH12" s="155">
        <f t="shared" si="17"/>
        <v>5405.9207996924251</v>
      </c>
      <c r="BI12" s="155">
        <f t="shared" si="17"/>
        <v>5405.9207996924251</v>
      </c>
      <c r="BJ12" s="155">
        <f t="shared" si="17"/>
        <v>5405.9207996924251</v>
      </c>
      <c r="BK12" s="155">
        <f t="shared" si="17"/>
        <v>5405.9207996924251</v>
      </c>
      <c r="BL12" s="155">
        <f t="shared" si="17"/>
        <v>5405.9207996924251</v>
      </c>
      <c r="BM12" s="155">
        <f t="shared" si="17"/>
        <v>5405.9207996924251</v>
      </c>
      <c r="BN12" s="155">
        <f t="shared" si="17"/>
        <v>5405.9207996924251</v>
      </c>
      <c r="BO12" s="155">
        <f t="shared" si="17"/>
        <v>5405.9207996924251</v>
      </c>
      <c r="BP12" s="155">
        <f t="shared" si="17"/>
        <v>5405.9207996924251</v>
      </c>
      <c r="BQ12" s="155">
        <f t="shared" si="17"/>
        <v>5405.9207996924251</v>
      </c>
      <c r="BR12" s="155">
        <f t="shared" si="17"/>
        <v>5511.9192467452167</v>
      </c>
      <c r="BS12" s="155">
        <f t="shared" si="17"/>
        <v>5511.9192467452167</v>
      </c>
      <c r="BT12" s="155">
        <f t="shared" si="17"/>
        <v>5511.9192467452167</v>
      </c>
      <c r="BU12" s="155">
        <f t="shared" si="17"/>
        <v>5511.9192467452167</v>
      </c>
      <c r="BV12" s="155">
        <f t="shared" si="17"/>
        <v>5511.9192467452167</v>
      </c>
      <c r="BW12" s="155">
        <f t="shared" si="17"/>
        <v>3055.7564191499996</v>
      </c>
      <c r="BX12" s="155">
        <f t="shared" si="17"/>
        <v>3055.7564191499996</v>
      </c>
      <c r="BY12" s="155">
        <f t="shared" si="17"/>
        <v>3055.7564191499996</v>
      </c>
      <c r="BZ12" s="155">
        <f t="shared" si="17"/>
        <v>3055.7564191499996</v>
      </c>
      <c r="CA12" s="155">
        <f t="shared" si="17"/>
        <v>3055.7564191499996</v>
      </c>
      <c r="CB12" s="155">
        <f t="shared" si="17"/>
        <v>3055.7564191499996</v>
      </c>
      <c r="CC12" s="155">
        <f t="shared" si="17"/>
        <v>4074.3418921999996</v>
      </c>
      <c r="CD12" s="155">
        <f t="shared" si="17"/>
        <v>4196.5721489659991</v>
      </c>
      <c r="CE12" s="156"/>
      <c r="CF12" s="156"/>
      <c r="CG12" s="156"/>
      <c r="CH12" s="156"/>
      <c r="CI12" s="156"/>
      <c r="CJ12" s="156"/>
      <c r="CK12" s="156"/>
      <c r="CL12" s="156"/>
      <c r="CM12" s="156"/>
      <c r="CN12" s="156"/>
      <c r="CO12" s="156"/>
      <c r="CP12" s="156"/>
      <c r="CQ12" s="156"/>
      <c r="CR12" s="156"/>
      <c r="CS12" s="156"/>
      <c r="CT12" s="156"/>
      <c r="CU12" s="156"/>
      <c r="CV12" s="156"/>
      <c r="CW12" s="156"/>
      <c r="CX12" s="156"/>
      <c r="CY12" s="156"/>
      <c r="CZ12" s="156"/>
      <c r="DA12" s="156"/>
      <c r="DB12" s="156"/>
      <c r="DC12" s="156"/>
      <c r="DD12" s="156"/>
      <c r="DE12" s="156"/>
      <c r="DF12" s="156"/>
      <c r="DG12" s="156"/>
      <c r="DH12" s="156"/>
      <c r="DI12" s="156"/>
      <c r="DJ12" s="156"/>
      <c r="DK12" s="156"/>
      <c r="DL12" s="156"/>
      <c r="DM12" s="156"/>
      <c r="DN12" s="156"/>
      <c r="DO12" s="156"/>
      <c r="DP12" s="156"/>
      <c r="DQ12" s="156"/>
      <c r="DR12" s="156"/>
      <c r="DS12" s="156"/>
      <c r="DT12" s="156"/>
      <c r="DU12" s="156"/>
      <c r="DV12" s="156"/>
      <c r="DW12" s="156"/>
      <c r="DX12" s="156"/>
      <c r="DY12" s="156"/>
      <c r="DZ12" s="156"/>
      <c r="EA12" s="156"/>
      <c r="EB12" s="156"/>
      <c r="EC12" s="156"/>
      <c r="ED12" s="156"/>
      <c r="EE12" s="156"/>
      <c r="EF12" s="156"/>
      <c r="EG12" s="156"/>
      <c r="EH12" s="156"/>
      <c r="EI12" s="156"/>
      <c r="EJ12" s="156"/>
      <c r="EK12" s="156"/>
    </row>
    <row r="13" spans="1:141" x14ac:dyDescent="0.2">
      <c r="A13" s="130" t="str">
        <f>'OM Rent Roll'!A8</f>
        <v>4949 D&amp;E</v>
      </c>
      <c r="B13" s="130" t="str">
        <f>'OM Rent Roll'!B8</f>
        <v>Silver Sake</v>
      </c>
      <c r="C13" s="131">
        <f>'OM Rent Roll'!C8</f>
        <v>1990</v>
      </c>
      <c r="D13" s="83">
        <f>C13/NRA</f>
        <v>0.11129753914988814</v>
      </c>
      <c r="E13" s="130" t="str">
        <f>'OM Rent Roll'!D8</f>
        <v>NNN</v>
      </c>
      <c r="F13" s="132">
        <f>'OM Rent Roll'!G8</f>
        <v>1.5075376884422111</v>
      </c>
      <c r="G13" s="133">
        <f>'OM Rent Roll'!H8</f>
        <v>0</v>
      </c>
      <c r="H13" s="159" t="str">
        <f>IF('OM Rent Roll'!E8=0,"",'OM Rent Roll'!E8)</f>
        <v>MTM</v>
      </c>
      <c r="I13" s="130" t="str">
        <f>IF('OM Rent Roll'!F8=0,"",'OM Rent Roll'!F8)</f>
        <v>MTM</v>
      </c>
      <c r="J13" s="128">
        <v>1</v>
      </c>
      <c r="K13" s="80">
        <v>60</v>
      </c>
      <c r="L13" s="80">
        <v>36</v>
      </c>
      <c r="M13" s="181">
        <f>Rent_Growth</f>
        <v>0.03</v>
      </c>
      <c r="N13" s="185">
        <v>0.5</v>
      </c>
      <c r="O13" s="80">
        <v>6</v>
      </c>
      <c r="P13" s="189">
        <v>25</v>
      </c>
      <c r="Q13" s="189">
        <v>5</v>
      </c>
      <c r="R13" s="181">
        <v>0.06</v>
      </c>
      <c r="S13" s="181">
        <v>0.03</v>
      </c>
      <c r="T13" s="80" t="s">
        <v>202</v>
      </c>
      <c r="U13" s="170">
        <v>0</v>
      </c>
      <c r="V13" s="174" t="str">
        <f t="shared" ref="V13:BA13" si="18">IF(OR($I$13="",$I$13=0),IF(V$2&lt;$U$13,"Vacant","Relet"),IF(ISTEXT($I$13),IF($U$13&gt;0,IF(V$2&lt;$U$13,"Downtime","Relet"),IF(V$2&lt;=$O$13,"Downtime","Relet")),IF($I$13&lt;=Close_Date,IF(V$2&lt;=$O$13,"Downtime","Relet"),IF(V$2&lt;=DATEDIF(Close_Date,$I$13,"M"),"In-Term",IF(V$2&lt;=DATEDIF(Close_Date,$I$13,"M")+$O$13,"Downtime","Relet")))))</f>
        <v>Downtime</v>
      </c>
      <c r="W13" s="149" t="str">
        <f t="shared" si="18"/>
        <v>Downtime</v>
      </c>
      <c r="X13" s="149" t="str">
        <f t="shared" si="18"/>
        <v>Downtime</v>
      </c>
      <c r="Y13" s="149" t="str">
        <f t="shared" si="18"/>
        <v>Downtime</v>
      </c>
      <c r="Z13" s="149" t="str">
        <f t="shared" si="18"/>
        <v>Downtime</v>
      </c>
      <c r="AA13" s="149" t="str">
        <f t="shared" si="18"/>
        <v>Downtime</v>
      </c>
      <c r="AB13" s="149" t="str">
        <f t="shared" si="18"/>
        <v>Relet</v>
      </c>
      <c r="AC13" s="149" t="str">
        <f t="shared" si="18"/>
        <v>Relet</v>
      </c>
      <c r="AD13" s="149" t="str">
        <f t="shared" si="18"/>
        <v>Relet</v>
      </c>
      <c r="AE13" s="149" t="str">
        <f t="shared" si="18"/>
        <v>Relet</v>
      </c>
      <c r="AF13" s="149" t="str">
        <f t="shared" si="18"/>
        <v>Relet</v>
      </c>
      <c r="AG13" s="149" t="str">
        <f t="shared" si="18"/>
        <v>Relet</v>
      </c>
      <c r="AH13" s="149" t="str">
        <f t="shared" si="18"/>
        <v>Relet</v>
      </c>
      <c r="AI13" s="149" t="str">
        <f t="shared" si="18"/>
        <v>Relet</v>
      </c>
      <c r="AJ13" s="149" t="str">
        <f t="shared" si="18"/>
        <v>Relet</v>
      </c>
      <c r="AK13" s="149" t="str">
        <f t="shared" si="18"/>
        <v>Relet</v>
      </c>
      <c r="AL13" s="149" t="str">
        <f t="shared" si="18"/>
        <v>Relet</v>
      </c>
      <c r="AM13" s="149" t="str">
        <f t="shared" si="18"/>
        <v>Relet</v>
      </c>
      <c r="AN13" s="149" t="str">
        <f t="shared" si="18"/>
        <v>Relet</v>
      </c>
      <c r="AO13" s="149" t="str">
        <f t="shared" si="18"/>
        <v>Relet</v>
      </c>
      <c r="AP13" s="149" t="str">
        <f t="shared" si="18"/>
        <v>Relet</v>
      </c>
      <c r="AQ13" s="149" t="str">
        <f t="shared" si="18"/>
        <v>Relet</v>
      </c>
      <c r="AR13" s="149" t="str">
        <f t="shared" si="18"/>
        <v>Relet</v>
      </c>
      <c r="AS13" s="149" t="str">
        <f t="shared" si="18"/>
        <v>Relet</v>
      </c>
      <c r="AT13" s="149" t="str">
        <f t="shared" si="18"/>
        <v>Relet</v>
      </c>
      <c r="AU13" s="149" t="str">
        <f t="shared" si="18"/>
        <v>Relet</v>
      </c>
      <c r="AV13" s="149" t="str">
        <f t="shared" si="18"/>
        <v>Relet</v>
      </c>
      <c r="AW13" s="149" t="str">
        <f t="shared" si="18"/>
        <v>Relet</v>
      </c>
      <c r="AX13" s="149" t="str">
        <f t="shared" si="18"/>
        <v>Relet</v>
      </c>
      <c r="AY13" s="149" t="str">
        <f t="shared" si="18"/>
        <v>Relet</v>
      </c>
      <c r="AZ13" s="149" t="str">
        <f t="shared" si="18"/>
        <v>Relet</v>
      </c>
      <c r="BA13" s="149" t="str">
        <f t="shared" si="18"/>
        <v>Relet</v>
      </c>
      <c r="BB13" s="149" t="str">
        <f t="shared" ref="BB13:CD13" si="19">IF(OR($I$13="",$I$13=0),IF(BB$2&lt;$U$13,"Vacant","Relet"),IF(ISTEXT($I$13),IF($U$13&gt;0,IF(BB$2&lt;$U$13,"Downtime","Relet"),IF(BB$2&lt;=$O$13,"Downtime","Relet")),IF($I$13&lt;=Close_Date,IF(BB$2&lt;=$O$13,"Downtime","Relet"),IF(BB$2&lt;=DATEDIF(Close_Date,$I$13,"M"),"In-Term",IF(BB$2&lt;=DATEDIF(Close_Date,$I$13,"M")+$O$13,"Downtime","Relet")))))</f>
        <v>Relet</v>
      </c>
      <c r="BC13" s="149" t="str">
        <f t="shared" si="19"/>
        <v>Relet</v>
      </c>
      <c r="BD13" s="149" t="str">
        <f t="shared" si="19"/>
        <v>Relet</v>
      </c>
      <c r="BE13" s="149" t="str">
        <f t="shared" si="19"/>
        <v>Relet</v>
      </c>
      <c r="BF13" s="149" t="str">
        <f t="shared" si="19"/>
        <v>Relet</v>
      </c>
      <c r="BG13" s="149" t="str">
        <f t="shared" si="19"/>
        <v>Relet</v>
      </c>
      <c r="BH13" s="149" t="str">
        <f t="shared" si="19"/>
        <v>Relet</v>
      </c>
      <c r="BI13" s="149" t="str">
        <f t="shared" si="19"/>
        <v>Relet</v>
      </c>
      <c r="BJ13" s="149" t="str">
        <f t="shared" si="19"/>
        <v>Relet</v>
      </c>
      <c r="BK13" s="149" t="str">
        <f t="shared" si="19"/>
        <v>Relet</v>
      </c>
      <c r="BL13" s="149" t="str">
        <f t="shared" si="19"/>
        <v>Relet</v>
      </c>
      <c r="BM13" s="149" t="str">
        <f t="shared" si="19"/>
        <v>Relet</v>
      </c>
      <c r="BN13" s="149" t="str">
        <f t="shared" si="19"/>
        <v>Relet</v>
      </c>
      <c r="BO13" s="149" t="str">
        <f t="shared" si="19"/>
        <v>Relet</v>
      </c>
      <c r="BP13" s="149" t="str">
        <f t="shared" si="19"/>
        <v>Relet</v>
      </c>
      <c r="BQ13" s="149" t="str">
        <f t="shared" si="19"/>
        <v>Relet</v>
      </c>
      <c r="BR13" s="149" t="str">
        <f t="shared" si="19"/>
        <v>Relet</v>
      </c>
      <c r="BS13" s="149" t="str">
        <f t="shared" si="19"/>
        <v>Relet</v>
      </c>
      <c r="BT13" s="149" t="str">
        <f t="shared" si="19"/>
        <v>Relet</v>
      </c>
      <c r="BU13" s="149" t="str">
        <f t="shared" si="19"/>
        <v>Relet</v>
      </c>
      <c r="BV13" s="149" t="str">
        <f t="shared" si="19"/>
        <v>Relet</v>
      </c>
      <c r="BW13" s="149" t="str">
        <f t="shared" si="19"/>
        <v>Relet</v>
      </c>
      <c r="BX13" s="149" t="str">
        <f t="shared" si="19"/>
        <v>Relet</v>
      </c>
      <c r="BY13" s="149" t="str">
        <f t="shared" si="19"/>
        <v>Relet</v>
      </c>
      <c r="BZ13" s="149" t="str">
        <f t="shared" si="19"/>
        <v>Relet</v>
      </c>
      <c r="CA13" s="149" t="str">
        <f t="shared" si="19"/>
        <v>Relet</v>
      </c>
      <c r="CB13" s="149" t="str">
        <f t="shared" si="19"/>
        <v>Relet</v>
      </c>
      <c r="CC13" s="149" t="str">
        <f t="shared" si="19"/>
        <v>Relet</v>
      </c>
      <c r="CD13" s="149" t="str">
        <f t="shared" si="19"/>
        <v>Relet</v>
      </c>
    </row>
    <row r="14" spans="1:141" x14ac:dyDescent="0.2">
      <c r="A14" s="157"/>
      <c r="B14" s="158" t="s">
        <v>203</v>
      </c>
      <c r="C14" s="157"/>
      <c r="D14" s="157"/>
      <c r="E14" s="157"/>
      <c r="F14" s="157"/>
      <c r="G14" s="157"/>
      <c r="H14" s="157"/>
      <c r="I14" s="157"/>
      <c r="J14" s="152"/>
      <c r="K14" s="157"/>
      <c r="L14" s="157"/>
      <c r="M14" s="182"/>
      <c r="N14" s="186"/>
      <c r="O14" s="157"/>
      <c r="P14" s="182"/>
      <c r="Q14" s="182"/>
      <c r="R14" s="182"/>
      <c r="S14" s="182"/>
      <c r="T14" s="157"/>
      <c r="U14" s="171"/>
      <c r="V14" s="175">
        <f t="shared" ref="V14:BA14" si="20">IF(V13="Vacant",0,IF(V13="In-Term",$F$13*(1+$G$13)^(INT((V$2-1)/12)),IF(AND(V13="Downtime",ISTEXT($I$13)),$F$13,$J$13*(1+$M$13)^(INT((V$2-1)/12)))))</f>
        <v>1.5075376884422111</v>
      </c>
      <c r="W14" s="153">
        <f t="shared" si="20"/>
        <v>1.5075376884422111</v>
      </c>
      <c r="X14" s="153">
        <f t="shared" si="20"/>
        <v>1.5075376884422111</v>
      </c>
      <c r="Y14" s="153">
        <f t="shared" si="20"/>
        <v>1.5075376884422111</v>
      </c>
      <c r="Z14" s="153">
        <f t="shared" si="20"/>
        <v>1.5075376884422111</v>
      </c>
      <c r="AA14" s="153">
        <f t="shared" si="20"/>
        <v>1.5075376884422111</v>
      </c>
      <c r="AB14" s="153">
        <f t="shared" si="20"/>
        <v>1</v>
      </c>
      <c r="AC14" s="153">
        <f t="shared" si="20"/>
        <v>1</v>
      </c>
      <c r="AD14" s="153">
        <f t="shared" si="20"/>
        <v>1</v>
      </c>
      <c r="AE14" s="153">
        <f t="shared" si="20"/>
        <v>1</v>
      </c>
      <c r="AF14" s="153">
        <f t="shared" si="20"/>
        <v>1</v>
      </c>
      <c r="AG14" s="153">
        <f t="shared" si="20"/>
        <v>1</v>
      </c>
      <c r="AH14" s="153">
        <f t="shared" si="20"/>
        <v>1.03</v>
      </c>
      <c r="AI14" s="153">
        <f t="shared" si="20"/>
        <v>1.03</v>
      </c>
      <c r="AJ14" s="153">
        <f t="shared" si="20"/>
        <v>1.03</v>
      </c>
      <c r="AK14" s="153">
        <f t="shared" si="20"/>
        <v>1.03</v>
      </c>
      <c r="AL14" s="153">
        <f t="shared" si="20"/>
        <v>1.03</v>
      </c>
      <c r="AM14" s="153">
        <f t="shared" si="20"/>
        <v>1.03</v>
      </c>
      <c r="AN14" s="153">
        <f t="shared" si="20"/>
        <v>1.03</v>
      </c>
      <c r="AO14" s="153">
        <f t="shared" si="20"/>
        <v>1.03</v>
      </c>
      <c r="AP14" s="153">
        <f t="shared" si="20"/>
        <v>1.03</v>
      </c>
      <c r="AQ14" s="153">
        <f t="shared" si="20"/>
        <v>1.03</v>
      </c>
      <c r="AR14" s="153">
        <f t="shared" si="20"/>
        <v>1.03</v>
      </c>
      <c r="AS14" s="153">
        <f t="shared" si="20"/>
        <v>1.03</v>
      </c>
      <c r="AT14" s="153">
        <f t="shared" si="20"/>
        <v>1.0609</v>
      </c>
      <c r="AU14" s="153">
        <f t="shared" si="20"/>
        <v>1.0609</v>
      </c>
      <c r="AV14" s="153">
        <f t="shared" si="20"/>
        <v>1.0609</v>
      </c>
      <c r="AW14" s="153">
        <f t="shared" si="20"/>
        <v>1.0609</v>
      </c>
      <c r="AX14" s="153">
        <f t="shared" si="20"/>
        <v>1.0609</v>
      </c>
      <c r="AY14" s="153">
        <f t="shared" si="20"/>
        <v>1.0609</v>
      </c>
      <c r="AZ14" s="153">
        <f t="shared" si="20"/>
        <v>1.0609</v>
      </c>
      <c r="BA14" s="153">
        <f t="shared" si="20"/>
        <v>1.0609</v>
      </c>
      <c r="BB14" s="153">
        <f t="shared" ref="BB14:CD14" si="21">IF(BB13="Vacant",0,IF(BB13="In-Term",$F$13*(1+$G$13)^(INT((BB$2-1)/12)),IF(AND(BB13="Downtime",ISTEXT($I$13)),$F$13,$J$13*(1+$M$13)^(INT((BB$2-1)/12)))))</f>
        <v>1.0609</v>
      </c>
      <c r="BC14" s="153">
        <f t="shared" si="21"/>
        <v>1.0609</v>
      </c>
      <c r="BD14" s="153">
        <f t="shared" si="21"/>
        <v>1.0609</v>
      </c>
      <c r="BE14" s="153">
        <f t="shared" si="21"/>
        <v>1.0609</v>
      </c>
      <c r="BF14" s="153">
        <f t="shared" si="21"/>
        <v>1.092727</v>
      </c>
      <c r="BG14" s="153">
        <f t="shared" si="21"/>
        <v>1.092727</v>
      </c>
      <c r="BH14" s="153">
        <f t="shared" si="21"/>
        <v>1.092727</v>
      </c>
      <c r="BI14" s="153">
        <f t="shared" si="21"/>
        <v>1.092727</v>
      </c>
      <c r="BJ14" s="153">
        <f t="shared" si="21"/>
        <v>1.092727</v>
      </c>
      <c r="BK14" s="153">
        <f t="shared" si="21"/>
        <v>1.092727</v>
      </c>
      <c r="BL14" s="153">
        <f t="shared" si="21"/>
        <v>1.092727</v>
      </c>
      <c r="BM14" s="153">
        <f t="shared" si="21"/>
        <v>1.092727</v>
      </c>
      <c r="BN14" s="153">
        <f t="shared" si="21"/>
        <v>1.092727</v>
      </c>
      <c r="BO14" s="153">
        <f t="shared" si="21"/>
        <v>1.092727</v>
      </c>
      <c r="BP14" s="153">
        <f t="shared" si="21"/>
        <v>1.092727</v>
      </c>
      <c r="BQ14" s="153">
        <f t="shared" si="21"/>
        <v>1.092727</v>
      </c>
      <c r="BR14" s="153">
        <f t="shared" si="21"/>
        <v>1.1255088099999999</v>
      </c>
      <c r="BS14" s="153">
        <f t="shared" si="21"/>
        <v>1.1255088099999999</v>
      </c>
      <c r="BT14" s="153">
        <f t="shared" si="21"/>
        <v>1.1255088099999999</v>
      </c>
      <c r="BU14" s="153">
        <f t="shared" si="21"/>
        <v>1.1255088099999999</v>
      </c>
      <c r="BV14" s="153">
        <f t="shared" si="21"/>
        <v>1.1255088099999999</v>
      </c>
      <c r="BW14" s="153">
        <f t="shared" si="21"/>
        <v>1.1255088099999999</v>
      </c>
      <c r="BX14" s="153">
        <f t="shared" si="21"/>
        <v>1.1255088099999999</v>
      </c>
      <c r="BY14" s="153">
        <f t="shared" si="21"/>
        <v>1.1255088099999999</v>
      </c>
      <c r="BZ14" s="153">
        <f t="shared" si="21"/>
        <v>1.1255088099999999</v>
      </c>
      <c r="CA14" s="153">
        <f t="shared" si="21"/>
        <v>1.1255088099999999</v>
      </c>
      <c r="CB14" s="153">
        <f t="shared" si="21"/>
        <v>1.1255088099999999</v>
      </c>
      <c r="CC14" s="153">
        <f t="shared" si="21"/>
        <v>1.1255088099999999</v>
      </c>
      <c r="CD14" s="153">
        <f t="shared" si="21"/>
        <v>1.1592740742999998</v>
      </c>
      <c r="CE14" s="154"/>
      <c r="CF14" s="154"/>
      <c r="CG14" s="154"/>
      <c r="CH14" s="154"/>
      <c r="CI14" s="154"/>
      <c r="CJ14" s="154"/>
      <c r="CK14" s="154"/>
      <c r="CL14" s="154"/>
      <c r="CM14" s="154"/>
      <c r="CN14" s="154"/>
      <c r="CO14" s="154"/>
      <c r="CP14" s="154"/>
      <c r="CQ14" s="154"/>
      <c r="CR14" s="154"/>
      <c r="CS14" s="154"/>
      <c r="CT14" s="154"/>
      <c r="CU14" s="154"/>
      <c r="CV14" s="154"/>
      <c r="CW14" s="154"/>
      <c r="CX14" s="154"/>
      <c r="CY14" s="154"/>
      <c r="CZ14" s="154"/>
      <c r="DA14" s="154"/>
      <c r="DB14" s="154"/>
      <c r="DC14" s="154"/>
      <c r="DD14" s="154"/>
      <c r="DE14" s="154"/>
      <c r="DF14" s="154"/>
      <c r="DG14" s="154"/>
      <c r="DH14" s="154"/>
      <c r="DI14" s="154"/>
      <c r="DJ14" s="154"/>
      <c r="DK14" s="154"/>
      <c r="DL14" s="154"/>
      <c r="DM14" s="154"/>
      <c r="DN14" s="154"/>
      <c r="DO14" s="154"/>
      <c r="DP14" s="154"/>
      <c r="DQ14" s="154"/>
      <c r="DR14" s="154"/>
      <c r="DS14" s="154"/>
      <c r="DT14" s="154"/>
      <c r="DU14" s="154"/>
      <c r="DV14" s="154"/>
      <c r="DW14" s="154"/>
      <c r="DX14" s="154"/>
      <c r="DY14" s="154"/>
      <c r="DZ14" s="154"/>
      <c r="EA14" s="154"/>
      <c r="EB14" s="154"/>
      <c r="EC14" s="154"/>
      <c r="ED14" s="154"/>
      <c r="EE14" s="154"/>
      <c r="EF14" s="154"/>
      <c r="EG14" s="154"/>
      <c r="EH14" s="154"/>
      <c r="EI14" s="154"/>
      <c r="EJ14" s="154"/>
      <c r="EK14" s="154"/>
    </row>
    <row r="15" spans="1:141" x14ac:dyDescent="0.2">
      <c r="A15" s="157"/>
      <c r="B15" s="158" t="s">
        <v>204</v>
      </c>
      <c r="C15" s="157"/>
      <c r="D15" s="157"/>
      <c r="E15" s="157"/>
      <c r="F15" s="157"/>
      <c r="G15" s="157"/>
      <c r="H15" s="157"/>
      <c r="I15" s="157"/>
      <c r="J15" s="152"/>
      <c r="K15" s="157"/>
      <c r="L15" s="157"/>
      <c r="M15" s="182"/>
      <c r="N15" s="186"/>
      <c r="O15" s="157"/>
      <c r="P15" s="182"/>
      <c r="Q15" s="182"/>
      <c r="R15" s="182"/>
      <c r="S15" s="182"/>
      <c r="T15" s="157"/>
      <c r="U15" s="171"/>
      <c r="V15" s="176">
        <f t="shared" ref="V15:BA15" si="22">IF(V13="Vacant",0,IF(V13="Downtime",$N$13*V14*$C$13,V14*$C$13))</f>
        <v>1500</v>
      </c>
      <c r="W15" s="155">
        <f t="shared" si="22"/>
        <v>1500</v>
      </c>
      <c r="X15" s="155">
        <f t="shared" si="22"/>
        <v>1500</v>
      </c>
      <c r="Y15" s="155">
        <f t="shared" si="22"/>
        <v>1500</v>
      </c>
      <c r="Z15" s="155">
        <f t="shared" si="22"/>
        <v>1500</v>
      </c>
      <c r="AA15" s="155">
        <f t="shared" si="22"/>
        <v>1500</v>
      </c>
      <c r="AB15" s="155">
        <f t="shared" si="22"/>
        <v>1990</v>
      </c>
      <c r="AC15" s="155">
        <f t="shared" si="22"/>
        <v>1990</v>
      </c>
      <c r="AD15" s="155">
        <f t="shared" si="22"/>
        <v>1990</v>
      </c>
      <c r="AE15" s="155">
        <f t="shared" si="22"/>
        <v>1990</v>
      </c>
      <c r="AF15" s="155">
        <f t="shared" si="22"/>
        <v>1990</v>
      </c>
      <c r="AG15" s="155">
        <f t="shared" si="22"/>
        <v>1990</v>
      </c>
      <c r="AH15" s="155">
        <f t="shared" si="22"/>
        <v>2049.7000000000003</v>
      </c>
      <c r="AI15" s="155">
        <f t="shared" si="22"/>
        <v>2049.7000000000003</v>
      </c>
      <c r="AJ15" s="155">
        <f t="shared" si="22"/>
        <v>2049.7000000000003</v>
      </c>
      <c r="AK15" s="155">
        <f t="shared" si="22"/>
        <v>2049.7000000000003</v>
      </c>
      <c r="AL15" s="155">
        <f t="shared" si="22"/>
        <v>2049.7000000000003</v>
      </c>
      <c r="AM15" s="155">
        <f t="shared" si="22"/>
        <v>2049.7000000000003</v>
      </c>
      <c r="AN15" s="155">
        <f t="shared" si="22"/>
        <v>2049.7000000000003</v>
      </c>
      <c r="AO15" s="155">
        <f t="shared" si="22"/>
        <v>2049.7000000000003</v>
      </c>
      <c r="AP15" s="155">
        <f t="shared" si="22"/>
        <v>2049.7000000000003</v>
      </c>
      <c r="AQ15" s="155">
        <f t="shared" si="22"/>
        <v>2049.7000000000003</v>
      </c>
      <c r="AR15" s="155">
        <f t="shared" si="22"/>
        <v>2049.7000000000003</v>
      </c>
      <c r="AS15" s="155">
        <f t="shared" si="22"/>
        <v>2049.7000000000003</v>
      </c>
      <c r="AT15" s="155">
        <f t="shared" si="22"/>
        <v>2111.1909999999998</v>
      </c>
      <c r="AU15" s="155">
        <f t="shared" si="22"/>
        <v>2111.1909999999998</v>
      </c>
      <c r="AV15" s="155">
        <f t="shared" si="22"/>
        <v>2111.1909999999998</v>
      </c>
      <c r="AW15" s="155">
        <f t="shared" si="22"/>
        <v>2111.1909999999998</v>
      </c>
      <c r="AX15" s="155">
        <f t="shared" si="22"/>
        <v>2111.1909999999998</v>
      </c>
      <c r="AY15" s="155">
        <f t="shared" si="22"/>
        <v>2111.1909999999998</v>
      </c>
      <c r="AZ15" s="155">
        <f t="shared" si="22"/>
        <v>2111.1909999999998</v>
      </c>
      <c r="BA15" s="155">
        <f t="shared" si="22"/>
        <v>2111.1909999999998</v>
      </c>
      <c r="BB15" s="155">
        <f t="shared" ref="BB15:CD15" si="23">IF(BB13="Vacant",0,IF(BB13="Downtime",$N$13*BB14*$C$13,BB14*$C$13))</f>
        <v>2111.1909999999998</v>
      </c>
      <c r="BC15" s="155">
        <f t="shared" si="23"/>
        <v>2111.1909999999998</v>
      </c>
      <c r="BD15" s="155">
        <f t="shared" si="23"/>
        <v>2111.1909999999998</v>
      </c>
      <c r="BE15" s="155">
        <f t="shared" si="23"/>
        <v>2111.1909999999998</v>
      </c>
      <c r="BF15" s="155">
        <f t="shared" si="23"/>
        <v>2174.52673</v>
      </c>
      <c r="BG15" s="155">
        <f t="shared" si="23"/>
        <v>2174.52673</v>
      </c>
      <c r="BH15" s="155">
        <f t="shared" si="23"/>
        <v>2174.52673</v>
      </c>
      <c r="BI15" s="155">
        <f t="shared" si="23"/>
        <v>2174.52673</v>
      </c>
      <c r="BJ15" s="155">
        <f t="shared" si="23"/>
        <v>2174.52673</v>
      </c>
      <c r="BK15" s="155">
        <f t="shared" si="23"/>
        <v>2174.52673</v>
      </c>
      <c r="BL15" s="155">
        <f t="shared" si="23"/>
        <v>2174.52673</v>
      </c>
      <c r="BM15" s="155">
        <f t="shared" si="23"/>
        <v>2174.52673</v>
      </c>
      <c r="BN15" s="155">
        <f t="shared" si="23"/>
        <v>2174.52673</v>
      </c>
      <c r="BO15" s="155">
        <f t="shared" si="23"/>
        <v>2174.52673</v>
      </c>
      <c r="BP15" s="155">
        <f t="shared" si="23"/>
        <v>2174.52673</v>
      </c>
      <c r="BQ15" s="155">
        <f t="shared" si="23"/>
        <v>2174.52673</v>
      </c>
      <c r="BR15" s="155">
        <f t="shared" si="23"/>
        <v>2239.7625318999999</v>
      </c>
      <c r="BS15" s="155">
        <f t="shared" si="23"/>
        <v>2239.7625318999999</v>
      </c>
      <c r="BT15" s="155">
        <f t="shared" si="23"/>
        <v>2239.7625318999999</v>
      </c>
      <c r="BU15" s="155">
        <f t="shared" si="23"/>
        <v>2239.7625318999999</v>
      </c>
      <c r="BV15" s="155">
        <f t="shared" si="23"/>
        <v>2239.7625318999999</v>
      </c>
      <c r="BW15" s="155">
        <f t="shared" si="23"/>
        <v>2239.7625318999999</v>
      </c>
      <c r="BX15" s="155">
        <f t="shared" si="23"/>
        <v>2239.7625318999999</v>
      </c>
      <c r="BY15" s="155">
        <f t="shared" si="23"/>
        <v>2239.7625318999999</v>
      </c>
      <c r="BZ15" s="155">
        <f t="shared" si="23"/>
        <v>2239.7625318999999</v>
      </c>
      <c r="CA15" s="155">
        <f t="shared" si="23"/>
        <v>2239.7625318999999</v>
      </c>
      <c r="CB15" s="155">
        <f t="shared" si="23"/>
        <v>2239.7625318999999</v>
      </c>
      <c r="CC15" s="155">
        <f t="shared" si="23"/>
        <v>2239.7625318999999</v>
      </c>
      <c r="CD15" s="155">
        <f t="shared" si="23"/>
        <v>2306.9554078569995</v>
      </c>
      <c r="CE15" s="156"/>
      <c r="CF15" s="156"/>
      <c r="CG15" s="156"/>
      <c r="CH15" s="156"/>
      <c r="CI15" s="156"/>
      <c r="CJ15" s="156"/>
      <c r="CK15" s="156"/>
      <c r="CL15" s="156"/>
      <c r="CM15" s="156"/>
      <c r="CN15" s="156"/>
      <c r="CO15" s="156"/>
      <c r="CP15" s="156"/>
      <c r="CQ15" s="156"/>
      <c r="CR15" s="156"/>
      <c r="CS15" s="156"/>
      <c r="CT15" s="156"/>
      <c r="CU15" s="156"/>
      <c r="CV15" s="156"/>
      <c r="CW15" s="156"/>
      <c r="CX15" s="156"/>
      <c r="CY15" s="156"/>
      <c r="CZ15" s="156"/>
      <c r="DA15" s="156"/>
      <c r="DB15" s="156"/>
      <c r="DC15" s="156"/>
      <c r="DD15" s="156"/>
      <c r="DE15" s="156"/>
      <c r="DF15" s="156"/>
      <c r="DG15" s="156"/>
      <c r="DH15" s="156"/>
      <c r="DI15" s="156"/>
      <c r="DJ15" s="156"/>
      <c r="DK15" s="156"/>
      <c r="DL15" s="156"/>
      <c r="DM15" s="156"/>
      <c r="DN15" s="156"/>
      <c r="DO15" s="156"/>
      <c r="DP15" s="156"/>
      <c r="DQ15" s="156"/>
      <c r="DR15" s="156"/>
      <c r="DS15" s="156"/>
      <c r="DT15" s="156"/>
      <c r="DU15" s="156"/>
      <c r="DV15" s="156"/>
      <c r="DW15" s="156"/>
      <c r="DX15" s="156"/>
      <c r="DY15" s="156"/>
      <c r="DZ15" s="156"/>
      <c r="EA15" s="156"/>
      <c r="EB15" s="156"/>
      <c r="EC15" s="156"/>
      <c r="ED15" s="156"/>
      <c r="EE15" s="156"/>
      <c r="EF15" s="156"/>
      <c r="EG15" s="156"/>
      <c r="EH15" s="156"/>
      <c r="EI15" s="156"/>
      <c r="EJ15" s="156"/>
      <c r="EK15" s="156"/>
    </row>
    <row r="16" spans="1:141" x14ac:dyDescent="0.2">
      <c r="A16" s="125" t="str">
        <f>'OM Rent Roll'!A9</f>
        <v>4949 F</v>
      </c>
      <c r="B16" s="125" t="str">
        <f>'OM Rent Roll'!B9</f>
        <v>Waiel Merza</v>
      </c>
      <c r="C16" s="126">
        <f>'OM Rent Roll'!C9</f>
        <v>810</v>
      </c>
      <c r="D16" s="63">
        <f>C16/NRA</f>
        <v>4.5302013422818789E-2</v>
      </c>
      <c r="E16" s="125" t="str">
        <f>'OM Rent Roll'!D9</f>
        <v>NNN</v>
      </c>
      <c r="F16" s="127">
        <f>'OM Rent Roll'!G9</f>
        <v>0.95061728395061729</v>
      </c>
      <c r="G16" s="129">
        <f>'OM Rent Roll'!H9</f>
        <v>2.4858297938150642E-2</v>
      </c>
      <c r="H16" s="148">
        <f>IF('OM Rent Roll'!E9=0,"",'OM Rent Roll'!E9)</f>
        <v>46054</v>
      </c>
      <c r="I16" s="148">
        <f>IF('OM Rent Roll'!F9=0,"",'OM Rent Roll'!F9)</f>
        <v>47238</v>
      </c>
      <c r="J16" s="128">
        <v>1</v>
      </c>
      <c r="K16" s="60">
        <v>60</v>
      </c>
      <c r="L16" s="60">
        <v>36</v>
      </c>
      <c r="M16" s="179">
        <f>Rent_Growth</f>
        <v>0.03</v>
      </c>
      <c r="N16" s="183">
        <v>0.75</v>
      </c>
      <c r="O16" s="60">
        <v>6</v>
      </c>
      <c r="P16" s="188">
        <v>25</v>
      </c>
      <c r="Q16" s="188">
        <v>5</v>
      </c>
      <c r="R16" s="179">
        <v>0.06</v>
      </c>
      <c r="S16" s="179">
        <v>0.03</v>
      </c>
      <c r="T16" s="60" t="s">
        <v>202</v>
      </c>
      <c r="U16" s="168">
        <v>0</v>
      </c>
      <c r="V16" s="174" t="str">
        <f t="shared" ref="V16:BA16" si="24">IF(OR($I$16="",$I$16=0),IF(V$2&lt;$U$16,"Vacant","Relet"),IF(ISTEXT($I$16),IF($U$16&gt;0,IF(V$2&lt;$U$16,"Downtime","Relet"),IF(V$2&lt;=$O$16,"Downtime","Relet")),IF($I$16&lt;=Close_Date,IF(V$2&lt;=$O$16,"Downtime","Relet"),IF(V$2&lt;=DATEDIF(Close_Date,$I$16,"M"),"In-Term",IF(V$2&lt;=DATEDIF(Close_Date,$I$16,"M")+$O$16,"Downtime","Relet")))))</f>
        <v>In-Term</v>
      </c>
      <c r="W16" s="149" t="str">
        <f t="shared" si="24"/>
        <v>In-Term</v>
      </c>
      <c r="X16" s="149" t="str">
        <f t="shared" si="24"/>
        <v>In-Term</v>
      </c>
      <c r="Y16" s="149" t="str">
        <f t="shared" si="24"/>
        <v>In-Term</v>
      </c>
      <c r="Z16" s="149" t="str">
        <f t="shared" si="24"/>
        <v>In-Term</v>
      </c>
      <c r="AA16" s="149" t="str">
        <f t="shared" si="24"/>
        <v>In-Term</v>
      </c>
      <c r="AB16" s="149" t="str">
        <f t="shared" si="24"/>
        <v>In-Term</v>
      </c>
      <c r="AC16" s="149" t="str">
        <f t="shared" si="24"/>
        <v>In-Term</v>
      </c>
      <c r="AD16" s="149" t="str">
        <f t="shared" si="24"/>
        <v>In-Term</v>
      </c>
      <c r="AE16" s="149" t="str">
        <f t="shared" si="24"/>
        <v>In-Term</v>
      </c>
      <c r="AF16" s="149" t="str">
        <f t="shared" si="24"/>
        <v>In-Term</v>
      </c>
      <c r="AG16" s="149" t="str">
        <f t="shared" si="24"/>
        <v>In-Term</v>
      </c>
      <c r="AH16" s="149" t="str">
        <f t="shared" si="24"/>
        <v>In-Term</v>
      </c>
      <c r="AI16" s="149" t="str">
        <f t="shared" si="24"/>
        <v>In-Term</v>
      </c>
      <c r="AJ16" s="149" t="str">
        <f t="shared" si="24"/>
        <v>In-Term</v>
      </c>
      <c r="AK16" s="149" t="str">
        <f t="shared" si="24"/>
        <v>In-Term</v>
      </c>
      <c r="AL16" s="149" t="str">
        <f t="shared" si="24"/>
        <v>In-Term</v>
      </c>
      <c r="AM16" s="149" t="str">
        <f t="shared" si="24"/>
        <v>In-Term</v>
      </c>
      <c r="AN16" s="149" t="str">
        <f t="shared" si="24"/>
        <v>In-Term</v>
      </c>
      <c r="AO16" s="149" t="str">
        <f t="shared" si="24"/>
        <v>In-Term</v>
      </c>
      <c r="AP16" s="149" t="str">
        <f t="shared" si="24"/>
        <v>In-Term</v>
      </c>
      <c r="AQ16" s="149" t="str">
        <f t="shared" si="24"/>
        <v>In-Term</v>
      </c>
      <c r="AR16" s="149" t="str">
        <f t="shared" si="24"/>
        <v>In-Term</v>
      </c>
      <c r="AS16" s="149" t="str">
        <f t="shared" si="24"/>
        <v>In-Term</v>
      </c>
      <c r="AT16" s="149" t="str">
        <f t="shared" si="24"/>
        <v>In-Term</v>
      </c>
      <c r="AU16" s="149" t="str">
        <f t="shared" si="24"/>
        <v>In-Term</v>
      </c>
      <c r="AV16" s="149" t="str">
        <f t="shared" si="24"/>
        <v>In-Term</v>
      </c>
      <c r="AW16" s="149" t="str">
        <f t="shared" si="24"/>
        <v>In-Term</v>
      </c>
      <c r="AX16" s="149" t="str">
        <f t="shared" si="24"/>
        <v>In-Term</v>
      </c>
      <c r="AY16" s="149" t="str">
        <f t="shared" si="24"/>
        <v>In-Term</v>
      </c>
      <c r="AZ16" s="149" t="str">
        <f t="shared" si="24"/>
        <v>In-Term</v>
      </c>
      <c r="BA16" s="149" t="str">
        <f t="shared" si="24"/>
        <v>In-Term</v>
      </c>
      <c r="BB16" s="149" t="str">
        <f t="shared" ref="BB16:CD16" si="25">IF(OR($I$16="",$I$16=0),IF(BB$2&lt;$U$16,"Vacant","Relet"),IF(ISTEXT($I$16),IF($U$16&gt;0,IF(BB$2&lt;$U$16,"Downtime","Relet"),IF(BB$2&lt;=$O$16,"Downtime","Relet")),IF($I$16&lt;=Close_Date,IF(BB$2&lt;=$O$16,"Downtime","Relet"),IF(BB$2&lt;=DATEDIF(Close_Date,$I$16,"M"),"In-Term",IF(BB$2&lt;=DATEDIF(Close_Date,$I$16,"M")+$O$16,"Downtime","Relet")))))</f>
        <v>In-Term</v>
      </c>
      <c r="BC16" s="149" t="str">
        <f t="shared" si="25"/>
        <v>In-Term</v>
      </c>
      <c r="BD16" s="149" t="str">
        <f t="shared" si="25"/>
        <v>In-Term</v>
      </c>
      <c r="BE16" s="149" t="str">
        <f t="shared" si="25"/>
        <v>Downtime</v>
      </c>
      <c r="BF16" s="149" t="str">
        <f t="shared" si="25"/>
        <v>Downtime</v>
      </c>
      <c r="BG16" s="149" t="str">
        <f t="shared" si="25"/>
        <v>Downtime</v>
      </c>
      <c r="BH16" s="149" t="str">
        <f t="shared" si="25"/>
        <v>Downtime</v>
      </c>
      <c r="BI16" s="149" t="str">
        <f t="shared" si="25"/>
        <v>Downtime</v>
      </c>
      <c r="BJ16" s="149" t="str">
        <f t="shared" si="25"/>
        <v>Downtime</v>
      </c>
      <c r="BK16" s="149" t="str">
        <f t="shared" si="25"/>
        <v>Relet</v>
      </c>
      <c r="BL16" s="149" t="str">
        <f t="shared" si="25"/>
        <v>Relet</v>
      </c>
      <c r="BM16" s="149" t="str">
        <f t="shared" si="25"/>
        <v>Relet</v>
      </c>
      <c r="BN16" s="149" t="str">
        <f t="shared" si="25"/>
        <v>Relet</v>
      </c>
      <c r="BO16" s="149" t="str">
        <f t="shared" si="25"/>
        <v>Relet</v>
      </c>
      <c r="BP16" s="149" t="str">
        <f t="shared" si="25"/>
        <v>Relet</v>
      </c>
      <c r="BQ16" s="149" t="str">
        <f t="shared" si="25"/>
        <v>Relet</v>
      </c>
      <c r="BR16" s="149" t="str">
        <f t="shared" si="25"/>
        <v>Relet</v>
      </c>
      <c r="BS16" s="149" t="str">
        <f t="shared" si="25"/>
        <v>Relet</v>
      </c>
      <c r="BT16" s="149" t="str">
        <f t="shared" si="25"/>
        <v>Relet</v>
      </c>
      <c r="BU16" s="149" t="str">
        <f t="shared" si="25"/>
        <v>Relet</v>
      </c>
      <c r="BV16" s="149" t="str">
        <f t="shared" si="25"/>
        <v>Relet</v>
      </c>
      <c r="BW16" s="149" t="str">
        <f t="shared" si="25"/>
        <v>Relet</v>
      </c>
      <c r="BX16" s="149" t="str">
        <f t="shared" si="25"/>
        <v>Relet</v>
      </c>
      <c r="BY16" s="149" t="str">
        <f t="shared" si="25"/>
        <v>Relet</v>
      </c>
      <c r="BZ16" s="149" t="str">
        <f t="shared" si="25"/>
        <v>Relet</v>
      </c>
      <c r="CA16" s="149" t="str">
        <f t="shared" si="25"/>
        <v>Relet</v>
      </c>
      <c r="CB16" s="149" t="str">
        <f t="shared" si="25"/>
        <v>Relet</v>
      </c>
      <c r="CC16" s="149" t="str">
        <f t="shared" si="25"/>
        <v>Relet</v>
      </c>
      <c r="CD16" s="149" t="str">
        <f t="shared" si="25"/>
        <v>Relet</v>
      </c>
    </row>
    <row r="17" spans="1:141" x14ac:dyDescent="0.2">
      <c r="A17" s="150"/>
      <c r="B17" s="151" t="s">
        <v>203</v>
      </c>
      <c r="C17" s="150"/>
      <c r="D17" s="150"/>
      <c r="E17" s="150"/>
      <c r="F17" s="150"/>
      <c r="G17" s="150"/>
      <c r="H17" s="150"/>
      <c r="I17" s="150"/>
      <c r="J17" s="152"/>
      <c r="K17" s="150"/>
      <c r="L17" s="150"/>
      <c r="M17" s="180"/>
      <c r="N17" s="184"/>
      <c r="O17" s="150"/>
      <c r="P17" s="180"/>
      <c r="Q17" s="180"/>
      <c r="R17" s="180"/>
      <c r="S17" s="180"/>
      <c r="T17" s="150"/>
      <c r="U17" s="169"/>
      <c r="V17" s="175">
        <f t="shared" ref="V17:BA17" si="26">IF(V16="Vacant",0,IF(V16="In-Term",$F$16*(1+$G$16)^(INT((V$2-1)/12)),IF(AND(V16="Downtime",ISTEXT($I$16)),$F$16,$J$16*(1+$M$16)^(INT((V$2-1)/12)))))</f>
        <v>0.95061728395061729</v>
      </c>
      <c r="W17" s="153">
        <f t="shared" si="26"/>
        <v>0.95061728395061729</v>
      </c>
      <c r="X17" s="153">
        <f t="shared" si="26"/>
        <v>0.95061728395061729</v>
      </c>
      <c r="Y17" s="153">
        <f t="shared" si="26"/>
        <v>0.95061728395061729</v>
      </c>
      <c r="Z17" s="153">
        <f t="shared" si="26"/>
        <v>0.95061728395061729</v>
      </c>
      <c r="AA17" s="153">
        <f t="shared" si="26"/>
        <v>0.95061728395061729</v>
      </c>
      <c r="AB17" s="153">
        <f t="shared" si="26"/>
        <v>0.95061728395061729</v>
      </c>
      <c r="AC17" s="153">
        <f t="shared" si="26"/>
        <v>0.95061728395061729</v>
      </c>
      <c r="AD17" s="153">
        <f t="shared" si="26"/>
        <v>0.95061728395061729</v>
      </c>
      <c r="AE17" s="153">
        <f t="shared" si="26"/>
        <v>0.95061728395061729</v>
      </c>
      <c r="AF17" s="153">
        <f t="shared" si="26"/>
        <v>0.95061728395061729</v>
      </c>
      <c r="AG17" s="153">
        <f t="shared" si="26"/>
        <v>0.95061728395061729</v>
      </c>
      <c r="AH17" s="153">
        <f t="shared" si="26"/>
        <v>0.97424801162021724</v>
      </c>
      <c r="AI17" s="153">
        <f t="shared" si="26"/>
        <v>0.97424801162021724</v>
      </c>
      <c r="AJ17" s="153">
        <f t="shared" si="26"/>
        <v>0.97424801162021724</v>
      </c>
      <c r="AK17" s="153">
        <f t="shared" si="26"/>
        <v>0.97424801162021724</v>
      </c>
      <c r="AL17" s="153">
        <f t="shared" si="26"/>
        <v>0.97424801162021724</v>
      </c>
      <c r="AM17" s="153">
        <f t="shared" si="26"/>
        <v>0.97424801162021724</v>
      </c>
      <c r="AN17" s="153">
        <f t="shared" si="26"/>
        <v>0.97424801162021724</v>
      </c>
      <c r="AO17" s="153">
        <f t="shared" si="26"/>
        <v>0.97424801162021724</v>
      </c>
      <c r="AP17" s="153">
        <f t="shared" si="26"/>
        <v>0.97424801162021724</v>
      </c>
      <c r="AQ17" s="153">
        <f t="shared" si="26"/>
        <v>0.97424801162021724</v>
      </c>
      <c r="AR17" s="153">
        <f t="shared" si="26"/>
        <v>0.97424801162021724</v>
      </c>
      <c r="AS17" s="153">
        <f t="shared" si="26"/>
        <v>0.97424801162021724</v>
      </c>
      <c r="AT17" s="153">
        <f t="shared" si="26"/>
        <v>0.99846615895872359</v>
      </c>
      <c r="AU17" s="153">
        <f t="shared" si="26"/>
        <v>0.99846615895872359</v>
      </c>
      <c r="AV17" s="153">
        <f t="shared" si="26"/>
        <v>0.99846615895872359</v>
      </c>
      <c r="AW17" s="153">
        <f t="shared" si="26"/>
        <v>0.99846615895872359</v>
      </c>
      <c r="AX17" s="153">
        <f t="shared" si="26"/>
        <v>0.99846615895872359</v>
      </c>
      <c r="AY17" s="153">
        <f t="shared" si="26"/>
        <v>0.99846615895872359</v>
      </c>
      <c r="AZ17" s="153">
        <f t="shared" si="26"/>
        <v>0.99846615895872359</v>
      </c>
      <c r="BA17" s="153">
        <f t="shared" si="26"/>
        <v>0.99846615895872359</v>
      </c>
      <c r="BB17" s="153">
        <f t="shared" ref="BB17:CD17" si="27">IF(BB16="Vacant",0,IF(BB16="In-Term",$F$16*(1+$G$16)^(INT((BB$2-1)/12)),IF(AND(BB16="Downtime",ISTEXT($I$16)),$F$16,$J$16*(1+$M$16)^(INT((BB$2-1)/12)))))</f>
        <v>0.99846615895872359</v>
      </c>
      <c r="BC17" s="153">
        <f t="shared" si="27"/>
        <v>0.99846615895872359</v>
      </c>
      <c r="BD17" s="153">
        <f t="shared" si="27"/>
        <v>0.99846615895872359</v>
      </c>
      <c r="BE17" s="153">
        <f t="shared" si="27"/>
        <v>1.0609</v>
      </c>
      <c r="BF17" s="153">
        <f t="shared" si="27"/>
        <v>1.092727</v>
      </c>
      <c r="BG17" s="153">
        <f t="shared" si="27"/>
        <v>1.092727</v>
      </c>
      <c r="BH17" s="153">
        <f t="shared" si="27"/>
        <v>1.092727</v>
      </c>
      <c r="BI17" s="153">
        <f t="shared" si="27"/>
        <v>1.092727</v>
      </c>
      <c r="BJ17" s="153">
        <f t="shared" si="27"/>
        <v>1.092727</v>
      </c>
      <c r="BK17" s="153">
        <f t="shared" si="27"/>
        <v>1.092727</v>
      </c>
      <c r="BL17" s="153">
        <f t="shared" si="27"/>
        <v>1.092727</v>
      </c>
      <c r="BM17" s="153">
        <f t="shared" si="27"/>
        <v>1.092727</v>
      </c>
      <c r="BN17" s="153">
        <f t="shared" si="27"/>
        <v>1.092727</v>
      </c>
      <c r="BO17" s="153">
        <f t="shared" si="27"/>
        <v>1.092727</v>
      </c>
      <c r="BP17" s="153">
        <f t="shared" si="27"/>
        <v>1.092727</v>
      </c>
      <c r="BQ17" s="153">
        <f t="shared" si="27"/>
        <v>1.092727</v>
      </c>
      <c r="BR17" s="153">
        <f t="shared" si="27"/>
        <v>1.1255088099999999</v>
      </c>
      <c r="BS17" s="153">
        <f t="shared" si="27"/>
        <v>1.1255088099999999</v>
      </c>
      <c r="BT17" s="153">
        <f t="shared" si="27"/>
        <v>1.1255088099999999</v>
      </c>
      <c r="BU17" s="153">
        <f t="shared" si="27"/>
        <v>1.1255088099999999</v>
      </c>
      <c r="BV17" s="153">
        <f t="shared" si="27"/>
        <v>1.1255088099999999</v>
      </c>
      <c r="BW17" s="153">
        <f t="shared" si="27"/>
        <v>1.1255088099999999</v>
      </c>
      <c r="BX17" s="153">
        <f t="shared" si="27"/>
        <v>1.1255088099999999</v>
      </c>
      <c r="BY17" s="153">
        <f t="shared" si="27"/>
        <v>1.1255088099999999</v>
      </c>
      <c r="BZ17" s="153">
        <f t="shared" si="27"/>
        <v>1.1255088099999999</v>
      </c>
      <c r="CA17" s="153">
        <f t="shared" si="27"/>
        <v>1.1255088099999999</v>
      </c>
      <c r="CB17" s="153">
        <f t="shared" si="27"/>
        <v>1.1255088099999999</v>
      </c>
      <c r="CC17" s="153">
        <f t="shared" si="27"/>
        <v>1.1255088099999999</v>
      </c>
      <c r="CD17" s="153">
        <f t="shared" si="27"/>
        <v>1.1592740742999998</v>
      </c>
      <c r="CE17" s="154"/>
      <c r="CF17" s="154"/>
      <c r="CG17" s="154"/>
      <c r="CH17" s="154"/>
      <c r="CI17" s="154"/>
      <c r="CJ17" s="154"/>
      <c r="CK17" s="154"/>
      <c r="CL17" s="154"/>
      <c r="CM17" s="154"/>
      <c r="CN17" s="154"/>
      <c r="CO17" s="154"/>
      <c r="CP17" s="154"/>
      <c r="CQ17" s="154"/>
      <c r="CR17" s="154"/>
      <c r="CS17" s="154"/>
      <c r="CT17" s="154"/>
      <c r="CU17" s="154"/>
      <c r="CV17" s="154"/>
      <c r="CW17" s="154"/>
      <c r="CX17" s="154"/>
      <c r="CY17" s="154"/>
      <c r="CZ17" s="154"/>
      <c r="DA17" s="154"/>
      <c r="DB17" s="154"/>
      <c r="DC17" s="154"/>
      <c r="DD17" s="154"/>
      <c r="DE17" s="154"/>
      <c r="DF17" s="154"/>
      <c r="DG17" s="154"/>
      <c r="DH17" s="154"/>
      <c r="DI17" s="154"/>
      <c r="DJ17" s="154"/>
      <c r="DK17" s="154"/>
      <c r="DL17" s="154"/>
      <c r="DM17" s="154"/>
      <c r="DN17" s="154"/>
      <c r="DO17" s="154"/>
      <c r="DP17" s="154"/>
      <c r="DQ17" s="154"/>
      <c r="DR17" s="154"/>
      <c r="DS17" s="154"/>
      <c r="DT17" s="154"/>
      <c r="DU17" s="154"/>
      <c r="DV17" s="154"/>
      <c r="DW17" s="154"/>
      <c r="DX17" s="154"/>
      <c r="DY17" s="154"/>
      <c r="DZ17" s="154"/>
      <c r="EA17" s="154"/>
      <c r="EB17" s="154"/>
      <c r="EC17" s="154"/>
      <c r="ED17" s="154"/>
      <c r="EE17" s="154"/>
      <c r="EF17" s="154"/>
      <c r="EG17" s="154"/>
      <c r="EH17" s="154"/>
      <c r="EI17" s="154"/>
      <c r="EJ17" s="154"/>
      <c r="EK17" s="154"/>
    </row>
    <row r="18" spans="1:141" x14ac:dyDescent="0.2">
      <c r="A18" s="150"/>
      <c r="B18" s="151" t="s">
        <v>204</v>
      </c>
      <c r="C18" s="150"/>
      <c r="D18" s="150"/>
      <c r="E18" s="150"/>
      <c r="F18" s="150"/>
      <c r="G18" s="150"/>
      <c r="H18" s="150"/>
      <c r="I18" s="150"/>
      <c r="J18" s="152"/>
      <c r="K18" s="150"/>
      <c r="L18" s="150"/>
      <c r="M18" s="180"/>
      <c r="N18" s="184"/>
      <c r="O18" s="150"/>
      <c r="P18" s="180"/>
      <c r="Q18" s="180"/>
      <c r="R18" s="180"/>
      <c r="S18" s="180"/>
      <c r="T18" s="150"/>
      <c r="U18" s="169"/>
      <c r="V18" s="176">
        <f t="shared" ref="V18:BA18" si="28">IF(V16="Vacant",0,IF(V16="Downtime",$N$16*V17*$C$16,V17*$C$16))</f>
        <v>770</v>
      </c>
      <c r="W18" s="155">
        <f t="shared" si="28"/>
        <v>770</v>
      </c>
      <c r="X18" s="155">
        <f t="shared" si="28"/>
        <v>770</v>
      </c>
      <c r="Y18" s="155">
        <f t="shared" si="28"/>
        <v>770</v>
      </c>
      <c r="Z18" s="155">
        <f t="shared" si="28"/>
        <v>770</v>
      </c>
      <c r="AA18" s="155">
        <f t="shared" si="28"/>
        <v>770</v>
      </c>
      <c r="AB18" s="155">
        <f t="shared" si="28"/>
        <v>770</v>
      </c>
      <c r="AC18" s="155">
        <f t="shared" si="28"/>
        <v>770</v>
      </c>
      <c r="AD18" s="155">
        <f t="shared" si="28"/>
        <v>770</v>
      </c>
      <c r="AE18" s="155">
        <f t="shared" si="28"/>
        <v>770</v>
      </c>
      <c r="AF18" s="155">
        <f t="shared" si="28"/>
        <v>770</v>
      </c>
      <c r="AG18" s="155">
        <f t="shared" si="28"/>
        <v>770</v>
      </c>
      <c r="AH18" s="155">
        <f t="shared" si="28"/>
        <v>789.14088941237594</v>
      </c>
      <c r="AI18" s="155">
        <f t="shared" si="28"/>
        <v>789.14088941237594</v>
      </c>
      <c r="AJ18" s="155">
        <f t="shared" si="28"/>
        <v>789.14088941237594</v>
      </c>
      <c r="AK18" s="155">
        <f t="shared" si="28"/>
        <v>789.14088941237594</v>
      </c>
      <c r="AL18" s="155">
        <f t="shared" si="28"/>
        <v>789.14088941237594</v>
      </c>
      <c r="AM18" s="155">
        <f t="shared" si="28"/>
        <v>789.14088941237594</v>
      </c>
      <c r="AN18" s="155">
        <f t="shared" si="28"/>
        <v>789.14088941237594</v>
      </c>
      <c r="AO18" s="155">
        <f t="shared" si="28"/>
        <v>789.14088941237594</v>
      </c>
      <c r="AP18" s="155">
        <f t="shared" si="28"/>
        <v>789.14088941237594</v>
      </c>
      <c r="AQ18" s="155">
        <f t="shared" si="28"/>
        <v>789.14088941237594</v>
      </c>
      <c r="AR18" s="155">
        <f t="shared" si="28"/>
        <v>789.14088941237594</v>
      </c>
      <c r="AS18" s="155">
        <f t="shared" si="28"/>
        <v>789.14088941237594</v>
      </c>
      <c r="AT18" s="155">
        <f t="shared" si="28"/>
        <v>808.75758875656607</v>
      </c>
      <c r="AU18" s="155">
        <f t="shared" si="28"/>
        <v>808.75758875656607</v>
      </c>
      <c r="AV18" s="155">
        <f t="shared" si="28"/>
        <v>808.75758875656607</v>
      </c>
      <c r="AW18" s="155">
        <f t="shared" si="28"/>
        <v>808.75758875656607</v>
      </c>
      <c r="AX18" s="155">
        <f t="shared" si="28"/>
        <v>808.75758875656607</v>
      </c>
      <c r="AY18" s="155">
        <f t="shared" si="28"/>
        <v>808.75758875656607</v>
      </c>
      <c r="AZ18" s="155">
        <f t="shared" si="28"/>
        <v>808.75758875656607</v>
      </c>
      <c r="BA18" s="155">
        <f t="shared" si="28"/>
        <v>808.75758875656607</v>
      </c>
      <c r="BB18" s="155">
        <f t="shared" ref="BB18:CD18" si="29">IF(BB16="Vacant",0,IF(BB16="Downtime",$N$16*BB17*$C$16,BB17*$C$16))</f>
        <v>808.75758875656607</v>
      </c>
      <c r="BC18" s="155">
        <f t="shared" si="29"/>
        <v>808.75758875656607</v>
      </c>
      <c r="BD18" s="155">
        <f t="shared" si="29"/>
        <v>808.75758875656607</v>
      </c>
      <c r="BE18" s="155">
        <f t="shared" si="29"/>
        <v>644.49674999999991</v>
      </c>
      <c r="BF18" s="155">
        <f t="shared" si="29"/>
        <v>663.83165250000002</v>
      </c>
      <c r="BG18" s="155">
        <f t="shared" si="29"/>
        <v>663.83165250000002</v>
      </c>
      <c r="BH18" s="155">
        <f t="shared" si="29"/>
        <v>663.83165250000002</v>
      </c>
      <c r="BI18" s="155">
        <f t="shared" si="29"/>
        <v>663.83165250000002</v>
      </c>
      <c r="BJ18" s="155">
        <f t="shared" si="29"/>
        <v>663.83165250000002</v>
      </c>
      <c r="BK18" s="155">
        <f t="shared" si="29"/>
        <v>885.10887000000002</v>
      </c>
      <c r="BL18" s="155">
        <f t="shared" si="29"/>
        <v>885.10887000000002</v>
      </c>
      <c r="BM18" s="155">
        <f t="shared" si="29"/>
        <v>885.10887000000002</v>
      </c>
      <c r="BN18" s="155">
        <f t="shared" si="29"/>
        <v>885.10887000000002</v>
      </c>
      <c r="BO18" s="155">
        <f t="shared" si="29"/>
        <v>885.10887000000002</v>
      </c>
      <c r="BP18" s="155">
        <f t="shared" si="29"/>
        <v>885.10887000000002</v>
      </c>
      <c r="BQ18" s="155">
        <f t="shared" si="29"/>
        <v>885.10887000000002</v>
      </c>
      <c r="BR18" s="155">
        <f t="shared" si="29"/>
        <v>911.66213609999988</v>
      </c>
      <c r="BS18" s="155">
        <f t="shared" si="29"/>
        <v>911.66213609999988</v>
      </c>
      <c r="BT18" s="155">
        <f t="shared" si="29"/>
        <v>911.66213609999988</v>
      </c>
      <c r="BU18" s="155">
        <f t="shared" si="29"/>
        <v>911.66213609999988</v>
      </c>
      <c r="BV18" s="155">
        <f t="shared" si="29"/>
        <v>911.66213609999988</v>
      </c>
      <c r="BW18" s="155">
        <f t="shared" si="29"/>
        <v>911.66213609999988</v>
      </c>
      <c r="BX18" s="155">
        <f t="shared" si="29"/>
        <v>911.66213609999988</v>
      </c>
      <c r="BY18" s="155">
        <f t="shared" si="29"/>
        <v>911.66213609999988</v>
      </c>
      <c r="BZ18" s="155">
        <f t="shared" si="29"/>
        <v>911.66213609999988</v>
      </c>
      <c r="CA18" s="155">
        <f t="shared" si="29"/>
        <v>911.66213609999988</v>
      </c>
      <c r="CB18" s="155">
        <f t="shared" si="29"/>
        <v>911.66213609999988</v>
      </c>
      <c r="CC18" s="155">
        <f t="shared" si="29"/>
        <v>911.66213609999988</v>
      </c>
      <c r="CD18" s="155">
        <f t="shared" si="29"/>
        <v>939.01200018299983</v>
      </c>
      <c r="CE18" s="156"/>
      <c r="CF18" s="156"/>
      <c r="CG18" s="156"/>
      <c r="CH18" s="156"/>
      <c r="CI18" s="156"/>
      <c r="CJ18" s="156"/>
      <c r="CK18" s="156"/>
      <c r="CL18" s="156"/>
      <c r="CM18" s="156"/>
      <c r="CN18" s="156"/>
      <c r="CO18" s="156"/>
      <c r="CP18" s="156"/>
      <c r="CQ18" s="156"/>
      <c r="CR18" s="156"/>
      <c r="CS18" s="156"/>
      <c r="CT18" s="156"/>
      <c r="CU18" s="156"/>
      <c r="CV18" s="156"/>
      <c r="CW18" s="156"/>
      <c r="CX18" s="156"/>
      <c r="CY18" s="156"/>
      <c r="CZ18" s="156"/>
      <c r="DA18" s="156"/>
      <c r="DB18" s="156"/>
      <c r="DC18" s="156"/>
      <c r="DD18" s="156"/>
      <c r="DE18" s="156"/>
      <c r="DF18" s="156"/>
      <c r="DG18" s="156"/>
      <c r="DH18" s="156"/>
      <c r="DI18" s="156"/>
      <c r="DJ18" s="156"/>
      <c r="DK18" s="156"/>
      <c r="DL18" s="156"/>
      <c r="DM18" s="156"/>
      <c r="DN18" s="156"/>
      <c r="DO18" s="156"/>
      <c r="DP18" s="156"/>
      <c r="DQ18" s="156"/>
      <c r="DR18" s="156"/>
      <c r="DS18" s="156"/>
      <c r="DT18" s="156"/>
      <c r="DU18" s="156"/>
      <c r="DV18" s="156"/>
      <c r="DW18" s="156"/>
      <c r="DX18" s="156"/>
      <c r="DY18" s="156"/>
      <c r="DZ18" s="156"/>
      <c r="EA18" s="156"/>
      <c r="EB18" s="156"/>
      <c r="EC18" s="156"/>
      <c r="ED18" s="156"/>
      <c r="EE18" s="156"/>
      <c r="EF18" s="156"/>
      <c r="EG18" s="156"/>
      <c r="EH18" s="156"/>
      <c r="EI18" s="156"/>
      <c r="EJ18" s="156"/>
      <c r="EK18" s="156"/>
    </row>
    <row r="19" spans="1:141" x14ac:dyDescent="0.2">
      <c r="A19" s="130" t="str">
        <f>'OM Rent Roll'!A10</f>
        <v>4949 G</v>
      </c>
      <c r="B19" s="130" t="str">
        <f>'OM Rent Roll'!B10</f>
        <v>Cigarettes &amp; Gifts</v>
      </c>
      <c r="C19" s="131">
        <f>'OM Rent Roll'!C10</f>
        <v>810</v>
      </c>
      <c r="D19" s="83">
        <f>C19/NRA</f>
        <v>4.5302013422818789E-2</v>
      </c>
      <c r="E19" s="130" t="str">
        <f>'OM Rent Roll'!D10</f>
        <v>NNN</v>
      </c>
      <c r="F19" s="132">
        <f>'OM Rent Roll'!G10</f>
        <v>1.2506172839506173</v>
      </c>
      <c r="G19" s="133">
        <f>'OM Rent Roll'!H10</f>
        <v>0</v>
      </c>
      <c r="H19" s="159">
        <f>IF('OM Rent Roll'!E10=0,"",'OM Rent Roll'!E10)</f>
        <v>44105</v>
      </c>
      <c r="I19" s="159">
        <f>IF('OM Rent Roll'!F10=0,"",'OM Rent Roll'!F10)</f>
        <v>45930</v>
      </c>
      <c r="J19" s="128">
        <v>1</v>
      </c>
      <c r="K19" s="80">
        <v>60</v>
      </c>
      <c r="L19" s="80">
        <v>36</v>
      </c>
      <c r="M19" s="181">
        <f>Rent_Growth</f>
        <v>0.03</v>
      </c>
      <c r="N19" s="185">
        <v>0.75</v>
      </c>
      <c r="O19" s="80">
        <v>6</v>
      </c>
      <c r="P19" s="189">
        <v>25</v>
      </c>
      <c r="Q19" s="189">
        <v>5</v>
      </c>
      <c r="R19" s="181">
        <v>0.06</v>
      </c>
      <c r="S19" s="181">
        <v>0.03</v>
      </c>
      <c r="T19" s="80" t="s">
        <v>202</v>
      </c>
      <c r="U19" s="170">
        <v>0</v>
      </c>
      <c r="V19" s="174" t="str">
        <f t="shared" ref="V19:BA19" si="30">IF(OR($I$19="",$I$19=0),IF(V$2&lt;$U$19,"Vacant","Relet"),IF(ISTEXT($I$19),IF($U$19&gt;0,IF(V$2&lt;$U$19,"Downtime","Relet"),IF(V$2&lt;=$O$19,"Downtime","Relet")),IF($I$19&lt;=Close_Date,IF(V$2&lt;=$O$19,"Downtime","Relet"),IF(V$2&lt;=DATEDIF(Close_Date,$I$19,"M"),"In-Term",IF(V$2&lt;=DATEDIF(Close_Date,$I$19,"M")+$O$19,"Downtime","Relet")))))</f>
        <v>Downtime</v>
      </c>
      <c r="W19" s="149" t="str">
        <f t="shared" si="30"/>
        <v>Downtime</v>
      </c>
      <c r="X19" s="149" t="str">
        <f t="shared" si="30"/>
        <v>Downtime</v>
      </c>
      <c r="Y19" s="149" t="str">
        <f t="shared" si="30"/>
        <v>Downtime</v>
      </c>
      <c r="Z19" s="149" t="str">
        <f t="shared" si="30"/>
        <v>Downtime</v>
      </c>
      <c r="AA19" s="149" t="str">
        <f t="shared" si="30"/>
        <v>Downtime</v>
      </c>
      <c r="AB19" s="149" t="str">
        <f t="shared" si="30"/>
        <v>Relet</v>
      </c>
      <c r="AC19" s="149" t="str">
        <f t="shared" si="30"/>
        <v>Relet</v>
      </c>
      <c r="AD19" s="149" t="str">
        <f t="shared" si="30"/>
        <v>Relet</v>
      </c>
      <c r="AE19" s="149" t="str">
        <f t="shared" si="30"/>
        <v>Relet</v>
      </c>
      <c r="AF19" s="149" t="str">
        <f t="shared" si="30"/>
        <v>Relet</v>
      </c>
      <c r="AG19" s="149" t="str">
        <f t="shared" si="30"/>
        <v>Relet</v>
      </c>
      <c r="AH19" s="149" t="str">
        <f t="shared" si="30"/>
        <v>Relet</v>
      </c>
      <c r="AI19" s="149" t="str">
        <f t="shared" si="30"/>
        <v>Relet</v>
      </c>
      <c r="AJ19" s="149" t="str">
        <f t="shared" si="30"/>
        <v>Relet</v>
      </c>
      <c r="AK19" s="149" t="str">
        <f t="shared" si="30"/>
        <v>Relet</v>
      </c>
      <c r="AL19" s="149" t="str">
        <f t="shared" si="30"/>
        <v>Relet</v>
      </c>
      <c r="AM19" s="149" t="str">
        <f t="shared" si="30"/>
        <v>Relet</v>
      </c>
      <c r="AN19" s="149" t="str">
        <f t="shared" si="30"/>
        <v>Relet</v>
      </c>
      <c r="AO19" s="149" t="str">
        <f t="shared" si="30"/>
        <v>Relet</v>
      </c>
      <c r="AP19" s="149" t="str">
        <f t="shared" si="30"/>
        <v>Relet</v>
      </c>
      <c r="AQ19" s="149" t="str">
        <f t="shared" si="30"/>
        <v>Relet</v>
      </c>
      <c r="AR19" s="149" t="str">
        <f t="shared" si="30"/>
        <v>Relet</v>
      </c>
      <c r="AS19" s="149" t="str">
        <f t="shared" si="30"/>
        <v>Relet</v>
      </c>
      <c r="AT19" s="149" t="str">
        <f t="shared" si="30"/>
        <v>Relet</v>
      </c>
      <c r="AU19" s="149" t="str">
        <f t="shared" si="30"/>
        <v>Relet</v>
      </c>
      <c r="AV19" s="149" t="str">
        <f t="shared" si="30"/>
        <v>Relet</v>
      </c>
      <c r="AW19" s="149" t="str">
        <f t="shared" si="30"/>
        <v>Relet</v>
      </c>
      <c r="AX19" s="149" t="str">
        <f t="shared" si="30"/>
        <v>Relet</v>
      </c>
      <c r="AY19" s="149" t="str">
        <f t="shared" si="30"/>
        <v>Relet</v>
      </c>
      <c r="AZ19" s="149" t="str">
        <f t="shared" si="30"/>
        <v>Relet</v>
      </c>
      <c r="BA19" s="149" t="str">
        <f t="shared" si="30"/>
        <v>Relet</v>
      </c>
      <c r="BB19" s="149" t="str">
        <f t="shared" ref="BB19:CD19" si="31">IF(OR($I$19="",$I$19=0),IF(BB$2&lt;$U$19,"Vacant","Relet"),IF(ISTEXT($I$19),IF($U$19&gt;0,IF(BB$2&lt;$U$19,"Downtime","Relet"),IF(BB$2&lt;=$O$19,"Downtime","Relet")),IF($I$19&lt;=Close_Date,IF(BB$2&lt;=$O$19,"Downtime","Relet"),IF(BB$2&lt;=DATEDIF(Close_Date,$I$19,"M"),"In-Term",IF(BB$2&lt;=DATEDIF(Close_Date,$I$19,"M")+$O$19,"Downtime","Relet")))))</f>
        <v>Relet</v>
      </c>
      <c r="BC19" s="149" t="str">
        <f t="shared" si="31"/>
        <v>Relet</v>
      </c>
      <c r="BD19" s="149" t="str">
        <f t="shared" si="31"/>
        <v>Relet</v>
      </c>
      <c r="BE19" s="149" t="str">
        <f t="shared" si="31"/>
        <v>Relet</v>
      </c>
      <c r="BF19" s="149" t="str">
        <f t="shared" si="31"/>
        <v>Relet</v>
      </c>
      <c r="BG19" s="149" t="str">
        <f t="shared" si="31"/>
        <v>Relet</v>
      </c>
      <c r="BH19" s="149" t="str">
        <f t="shared" si="31"/>
        <v>Relet</v>
      </c>
      <c r="BI19" s="149" t="str">
        <f t="shared" si="31"/>
        <v>Relet</v>
      </c>
      <c r="BJ19" s="149" t="str">
        <f t="shared" si="31"/>
        <v>Relet</v>
      </c>
      <c r="BK19" s="149" t="str">
        <f t="shared" si="31"/>
        <v>Relet</v>
      </c>
      <c r="BL19" s="149" t="str">
        <f t="shared" si="31"/>
        <v>Relet</v>
      </c>
      <c r="BM19" s="149" t="str">
        <f t="shared" si="31"/>
        <v>Relet</v>
      </c>
      <c r="BN19" s="149" t="str">
        <f t="shared" si="31"/>
        <v>Relet</v>
      </c>
      <c r="BO19" s="149" t="str">
        <f t="shared" si="31"/>
        <v>Relet</v>
      </c>
      <c r="BP19" s="149" t="str">
        <f t="shared" si="31"/>
        <v>Relet</v>
      </c>
      <c r="BQ19" s="149" t="str">
        <f t="shared" si="31"/>
        <v>Relet</v>
      </c>
      <c r="BR19" s="149" t="str">
        <f t="shared" si="31"/>
        <v>Relet</v>
      </c>
      <c r="BS19" s="149" t="str">
        <f t="shared" si="31"/>
        <v>Relet</v>
      </c>
      <c r="BT19" s="149" t="str">
        <f t="shared" si="31"/>
        <v>Relet</v>
      </c>
      <c r="BU19" s="149" t="str">
        <f t="shared" si="31"/>
        <v>Relet</v>
      </c>
      <c r="BV19" s="149" t="str">
        <f t="shared" si="31"/>
        <v>Relet</v>
      </c>
      <c r="BW19" s="149" t="str">
        <f t="shared" si="31"/>
        <v>Relet</v>
      </c>
      <c r="BX19" s="149" t="str">
        <f t="shared" si="31"/>
        <v>Relet</v>
      </c>
      <c r="BY19" s="149" t="str">
        <f t="shared" si="31"/>
        <v>Relet</v>
      </c>
      <c r="BZ19" s="149" t="str">
        <f t="shared" si="31"/>
        <v>Relet</v>
      </c>
      <c r="CA19" s="149" t="str">
        <f t="shared" si="31"/>
        <v>Relet</v>
      </c>
      <c r="CB19" s="149" t="str">
        <f t="shared" si="31"/>
        <v>Relet</v>
      </c>
      <c r="CC19" s="149" t="str">
        <f t="shared" si="31"/>
        <v>Relet</v>
      </c>
      <c r="CD19" s="149" t="str">
        <f t="shared" si="31"/>
        <v>Relet</v>
      </c>
    </row>
    <row r="20" spans="1:141" x14ac:dyDescent="0.2">
      <c r="A20" s="157"/>
      <c r="B20" s="158" t="s">
        <v>203</v>
      </c>
      <c r="C20" s="157"/>
      <c r="D20" s="157"/>
      <c r="E20" s="157"/>
      <c r="F20" s="157"/>
      <c r="G20" s="157"/>
      <c r="H20" s="157"/>
      <c r="I20" s="157"/>
      <c r="J20" s="152"/>
      <c r="K20" s="157"/>
      <c r="L20" s="157"/>
      <c r="M20" s="182"/>
      <c r="N20" s="186"/>
      <c r="O20" s="157"/>
      <c r="P20" s="182"/>
      <c r="Q20" s="182"/>
      <c r="R20" s="182"/>
      <c r="S20" s="182"/>
      <c r="T20" s="157"/>
      <c r="U20" s="171"/>
      <c r="V20" s="175">
        <f t="shared" ref="V20:BA20" si="32">IF(V19="Vacant",0,IF(V19="In-Term",$F$19*(1+$G$19)^(INT((V$2-1)/12)),IF(AND(V19="Downtime",ISTEXT($I$19)),$F$19,$J$19*(1+$M$19)^(INT((V$2-1)/12)))))</f>
        <v>1</v>
      </c>
      <c r="W20" s="153">
        <f t="shared" si="32"/>
        <v>1</v>
      </c>
      <c r="X20" s="153">
        <f t="shared" si="32"/>
        <v>1</v>
      </c>
      <c r="Y20" s="153">
        <f t="shared" si="32"/>
        <v>1</v>
      </c>
      <c r="Z20" s="153">
        <f t="shared" si="32"/>
        <v>1</v>
      </c>
      <c r="AA20" s="153">
        <f t="shared" si="32"/>
        <v>1</v>
      </c>
      <c r="AB20" s="153">
        <f t="shared" si="32"/>
        <v>1</v>
      </c>
      <c r="AC20" s="153">
        <f t="shared" si="32"/>
        <v>1</v>
      </c>
      <c r="AD20" s="153">
        <f t="shared" si="32"/>
        <v>1</v>
      </c>
      <c r="AE20" s="153">
        <f t="shared" si="32"/>
        <v>1</v>
      </c>
      <c r="AF20" s="153">
        <f t="shared" si="32"/>
        <v>1</v>
      </c>
      <c r="AG20" s="153">
        <f t="shared" si="32"/>
        <v>1</v>
      </c>
      <c r="AH20" s="153">
        <f t="shared" si="32"/>
        <v>1.03</v>
      </c>
      <c r="AI20" s="153">
        <f t="shared" si="32"/>
        <v>1.03</v>
      </c>
      <c r="AJ20" s="153">
        <f t="shared" si="32"/>
        <v>1.03</v>
      </c>
      <c r="AK20" s="153">
        <f t="shared" si="32"/>
        <v>1.03</v>
      </c>
      <c r="AL20" s="153">
        <f t="shared" si="32"/>
        <v>1.03</v>
      </c>
      <c r="AM20" s="153">
        <f t="shared" si="32"/>
        <v>1.03</v>
      </c>
      <c r="AN20" s="153">
        <f t="shared" si="32"/>
        <v>1.03</v>
      </c>
      <c r="AO20" s="153">
        <f t="shared" si="32"/>
        <v>1.03</v>
      </c>
      <c r="AP20" s="153">
        <f t="shared" si="32"/>
        <v>1.03</v>
      </c>
      <c r="AQ20" s="153">
        <f t="shared" si="32"/>
        <v>1.03</v>
      </c>
      <c r="AR20" s="153">
        <f t="shared" si="32"/>
        <v>1.03</v>
      </c>
      <c r="AS20" s="153">
        <f t="shared" si="32"/>
        <v>1.03</v>
      </c>
      <c r="AT20" s="153">
        <f t="shared" si="32"/>
        <v>1.0609</v>
      </c>
      <c r="AU20" s="153">
        <f t="shared" si="32"/>
        <v>1.0609</v>
      </c>
      <c r="AV20" s="153">
        <f t="shared" si="32"/>
        <v>1.0609</v>
      </c>
      <c r="AW20" s="153">
        <f t="shared" si="32"/>
        <v>1.0609</v>
      </c>
      <c r="AX20" s="153">
        <f t="shared" si="32"/>
        <v>1.0609</v>
      </c>
      <c r="AY20" s="153">
        <f t="shared" si="32"/>
        <v>1.0609</v>
      </c>
      <c r="AZ20" s="153">
        <f t="shared" si="32"/>
        <v>1.0609</v>
      </c>
      <c r="BA20" s="153">
        <f t="shared" si="32"/>
        <v>1.0609</v>
      </c>
      <c r="BB20" s="153">
        <f t="shared" ref="BB20:CD20" si="33">IF(BB19="Vacant",0,IF(BB19="In-Term",$F$19*(1+$G$19)^(INT((BB$2-1)/12)),IF(AND(BB19="Downtime",ISTEXT($I$19)),$F$19,$J$19*(1+$M$19)^(INT((BB$2-1)/12)))))</f>
        <v>1.0609</v>
      </c>
      <c r="BC20" s="153">
        <f t="shared" si="33"/>
        <v>1.0609</v>
      </c>
      <c r="BD20" s="153">
        <f t="shared" si="33"/>
        <v>1.0609</v>
      </c>
      <c r="BE20" s="153">
        <f t="shared" si="33"/>
        <v>1.0609</v>
      </c>
      <c r="BF20" s="153">
        <f t="shared" si="33"/>
        <v>1.092727</v>
      </c>
      <c r="BG20" s="153">
        <f t="shared" si="33"/>
        <v>1.092727</v>
      </c>
      <c r="BH20" s="153">
        <f t="shared" si="33"/>
        <v>1.092727</v>
      </c>
      <c r="BI20" s="153">
        <f t="shared" si="33"/>
        <v>1.092727</v>
      </c>
      <c r="BJ20" s="153">
        <f t="shared" si="33"/>
        <v>1.092727</v>
      </c>
      <c r="BK20" s="153">
        <f t="shared" si="33"/>
        <v>1.092727</v>
      </c>
      <c r="BL20" s="153">
        <f t="shared" si="33"/>
        <v>1.092727</v>
      </c>
      <c r="BM20" s="153">
        <f t="shared" si="33"/>
        <v>1.092727</v>
      </c>
      <c r="BN20" s="153">
        <f t="shared" si="33"/>
        <v>1.092727</v>
      </c>
      <c r="BO20" s="153">
        <f t="shared" si="33"/>
        <v>1.092727</v>
      </c>
      <c r="BP20" s="153">
        <f t="shared" si="33"/>
        <v>1.092727</v>
      </c>
      <c r="BQ20" s="153">
        <f t="shared" si="33"/>
        <v>1.092727</v>
      </c>
      <c r="BR20" s="153">
        <f t="shared" si="33"/>
        <v>1.1255088099999999</v>
      </c>
      <c r="BS20" s="153">
        <f t="shared" si="33"/>
        <v>1.1255088099999999</v>
      </c>
      <c r="BT20" s="153">
        <f t="shared" si="33"/>
        <v>1.1255088099999999</v>
      </c>
      <c r="BU20" s="153">
        <f t="shared" si="33"/>
        <v>1.1255088099999999</v>
      </c>
      <c r="BV20" s="153">
        <f t="shared" si="33"/>
        <v>1.1255088099999999</v>
      </c>
      <c r="BW20" s="153">
        <f t="shared" si="33"/>
        <v>1.1255088099999999</v>
      </c>
      <c r="BX20" s="153">
        <f t="shared" si="33"/>
        <v>1.1255088099999999</v>
      </c>
      <c r="BY20" s="153">
        <f t="shared" si="33"/>
        <v>1.1255088099999999</v>
      </c>
      <c r="BZ20" s="153">
        <f t="shared" si="33"/>
        <v>1.1255088099999999</v>
      </c>
      <c r="CA20" s="153">
        <f t="shared" si="33"/>
        <v>1.1255088099999999</v>
      </c>
      <c r="CB20" s="153">
        <f t="shared" si="33"/>
        <v>1.1255088099999999</v>
      </c>
      <c r="CC20" s="153">
        <f t="shared" si="33"/>
        <v>1.1255088099999999</v>
      </c>
      <c r="CD20" s="153">
        <f t="shared" si="33"/>
        <v>1.1592740742999998</v>
      </c>
      <c r="CE20" s="154"/>
      <c r="CF20" s="154"/>
      <c r="CG20" s="154"/>
      <c r="CH20" s="154"/>
      <c r="CI20" s="154"/>
      <c r="CJ20" s="154"/>
      <c r="CK20" s="154"/>
      <c r="CL20" s="154"/>
      <c r="CM20" s="154"/>
      <c r="CN20" s="154"/>
      <c r="CO20" s="154"/>
      <c r="CP20" s="154"/>
      <c r="CQ20" s="154"/>
      <c r="CR20" s="154"/>
      <c r="CS20" s="154"/>
      <c r="CT20" s="154"/>
      <c r="CU20" s="154"/>
      <c r="CV20" s="154"/>
      <c r="CW20" s="154"/>
      <c r="CX20" s="154"/>
      <c r="CY20" s="154"/>
      <c r="CZ20" s="154"/>
      <c r="DA20" s="154"/>
      <c r="DB20" s="154"/>
      <c r="DC20" s="154"/>
      <c r="DD20" s="154"/>
      <c r="DE20" s="154"/>
      <c r="DF20" s="154"/>
      <c r="DG20" s="154"/>
      <c r="DH20" s="154"/>
      <c r="DI20" s="154"/>
      <c r="DJ20" s="154"/>
      <c r="DK20" s="154"/>
      <c r="DL20" s="154"/>
      <c r="DM20" s="154"/>
      <c r="DN20" s="154"/>
      <c r="DO20" s="154"/>
      <c r="DP20" s="154"/>
      <c r="DQ20" s="154"/>
      <c r="DR20" s="154"/>
      <c r="DS20" s="154"/>
      <c r="DT20" s="154"/>
      <c r="DU20" s="154"/>
      <c r="DV20" s="154"/>
      <c r="DW20" s="154"/>
      <c r="DX20" s="154"/>
      <c r="DY20" s="154"/>
      <c r="DZ20" s="154"/>
      <c r="EA20" s="154"/>
      <c r="EB20" s="154"/>
      <c r="EC20" s="154"/>
      <c r="ED20" s="154"/>
      <c r="EE20" s="154"/>
      <c r="EF20" s="154"/>
      <c r="EG20" s="154"/>
      <c r="EH20" s="154"/>
      <c r="EI20" s="154"/>
      <c r="EJ20" s="154"/>
      <c r="EK20" s="154"/>
    </row>
    <row r="21" spans="1:141" x14ac:dyDescent="0.2">
      <c r="A21" s="157"/>
      <c r="B21" s="158" t="s">
        <v>204</v>
      </c>
      <c r="C21" s="157"/>
      <c r="D21" s="157"/>
      <c r="E21" s="157"/>
      <c r="F21" s="157"/>
      <c r="G21" s="157"/>
      <c r="H21" s="157"/>
      <c r="I21" s="157"/>
      <c r="J21" s="152"/>
      <c r="K21" s="157"/>
      <c r="L21" s="157"/>
      <c r="M21" s="182"/>
      <c r="N21" s="186"/>
      <c r="O21" s="157"/>
      <c r="P21" s="182"/>
      <c r="Q21" s="182"/>
      <c r="R21" s="182"/>
      <c r="S21" s="182"/>
      <c r="T21" s="157"/>
      <c r="U21" s="171"/>
      <c r="V21" s="176">
        <f t="shared" ref="V21:BA21" si="34">IF(V19="Vacant",0,IF(V19="Downtime",$N$19*V20*$C$19,V20*$C$19))</f>
        <v>607.5</v>
      </c>
      <c r="W21" s="155">
        <f t="shared" si="34"/>
        <v>607.5</v>
      </c>
      <c r="X21" s="155">
        <f t="shared" si="34"/>
        <v>607.5</v>
      </c>
      <c r="Y21" s="155">
        <f t="shared" si="34"/>
        <v>607.5</v>
      </c>
      <c r="Z21" s="155">
        <f t="shared" si="34"/>
        <v>607.5</v>
      </c>
      <c r="AA21" s="155">
        <f t="shared" si="34"/>
        <v>607.5</v>
      </c>
      <c r="AB21" s="155">
        <f t="shared" si="34"/>
        <v>810</v>
      </c>
      <c r="AC21" s="155">
        <f t="shared" si="34"/>
        <v>810</v>
      </c>
      <c r="AD21" s="155">
        <f t="shared" si="34"/>
        <v>810</v>
      </c>
      <c r="AE21" s="155">
        <f t="shared" si="34"/>
        <v>810</v>
      </c>
      <c r="AF21" s="155">
        <f t="shared" si="34"/>
        <v>810</v>
      </c>
      <c r="AG21" s="155">
        <f t="shared" si="34"/>
        <v>810</v>
      </c>
      <c r="AH21" s="155">
        <f t="shared" si="34"/>
        <v>834.30000000000007</v>
      </c>
      <c r="AI21" s="155">
        <f t="shared" si="34"/>
        <v>834.30000000000007</v>
      </c>
      <c r="AJ21" s="155">
        <f t="shared" si="34"/>
        <v>834.30000000000007</v>
      </c>
      <c r="AK21" s="155">
        <f t="shared" si="34"/>
        <v>834.30000000000007</v>
      </c>
      <c r="AL21" s="155">
        <f t="shared" si="34"/>
        <v>834.30000000000007</v>
      </c>
      <c r="AM21" s="155">
        <f t="shared" si="34"/>
        <v>834.30000000000007</v>
      </c>
      <c r="AN21" s="155">
        <f t="shared" si="34"/>
        <v>834.30000000000007</v>
      </c>
      <c r="AO21" s="155">
        <f t="shared" si="34"/>
        <v>834.30000000000007</v>
      </c>
      <c r="AP21" s="155">
        <f t="shared" si="34"/>
        <v>834.30000000000007</v>
      </c>
      <c r="AQ21" s="155">
        <f t="shared" si="34"/>
        <v>834.30000000000007</v>
      </c>
      <c r="AR21" s="155">
        <f t="shared" si="34"/>
        <v>834.30000000000007</v>
      </c>
      <c r="AS21" s="155">
        <f t="shared" si="34"/>
        <v>834.30000000000007</v>
      </c>
      <c r="AT21" s="155">
        <f t="shared" si="34"/>
        <v>859.32899999999995</v>
      </c>
      <c r="AU21" s="155">
        <f t="shared" si="34"/>
        <v>859.32899999999995</v>
      </c>
      <c r="AV21" s="155">
        <f t="shared" si="34"/>
        <v>859.32899999999995</v>
      </c>
      <c r="AW21" s="155">
        <f t="shared" si="34"/>
        <v>859.32899999999995</v>
      </c>
      <c r="AX21" s="155">
        <f t="shared" si="34"/>
        <v>859.32899999999995</v>
      </c>
      <c r="AY21" s="155">
        <f t="shared" si="34"/>
        <v>859.32899999999995</v>
      </c>
      <c r="AZ21" s="155">
        <f t="shared" si="34"/>
        <v>859.32899999999995</v>
      </c>
      <c r="BA21" s="155">
        <f t="shared" si="34"/>
        <v>859.32899999999995</v>
      </c>
      <c r="BB21" s="155">
        <f t="shared" ref="BB21:CD21" si="35">IF(BB19="Vacant",0,IF(BB19="Downtime",$N$19*BB20*$C$19,BB20*$C$19))</f>
        <v>859.32899999999995</v>
      </c>
      <c r="BC21" s="155">
        <f t="shared" si="35"/>
        <v>859.32899999999995</v>
      </c>
      <c r="BD21" s="155">
        <f t="shared" si="35"/>
        <v>859.32899999999995</v>
      </c>
      <c r="BE21" s="155">
        <f t="shared" si="35"/>
        <v>859.32899999999995</v>
      </c>
      <c r="BF21" s="155">
        <f t="shared" si="35"/>
        <v>885.10887000000002</v>
      </c>
      <c r="BG21" s="155">
        <f t="shared" si="35"/>
        <v>885.10887000000002</v>
      </c>
      <c r="BH21" s="155">
        <f t="shared" si="35"/>
        <v>885.10887000000002</v>
      </c>
      <c r="BI21" s="155">
        <f t="shared" si="35"/>
        <v>885.10887000000002</v>
      </c>
      <c r="BJ21" s="155">
        <f t="shared" si="35"/>
        <v>885.10887000000002</v>
      </c>
      <c r="BK21" s="155">
        <f t="shared" si="35"/>
        <v>885.10887000000002</v>
      </c>
      <c r="BL21" s="155">
        <f t="shared" si="35"/>
        <v>885.10887000000002</v>
      </c>
      <c r="BM21" s="155">
        <f t="shared" si="35"/>
        <v>885.10887000000002</v>
      </c>
      <c r="BN21" s="155">
        <f t="shared" si="35"/>
        <v>885.10887000000002</v>
      </c>
      <c r="BO21" s="155">
        <f t="shared" si="35"/>
        <v>885.10887000000002</v>
      </c>
      <c r="BP21" s="155">
        <f t="shared" si="35"/>
        <v>885.10887000000002</v>
      </c>
      <c r="BQ21" s="155">
        <f t="shared" si="35"/>
        <v>885.10887000000002</v>
      </c>
      <c r="BR21" s="155">
        <f t="shared" si="35"/>
        <v>911.66213609999988</v>
      </c>
      <c r="BS21" s="155">
        <f t="shared" si="35"/>
        <v>911.66213609999988</v>
      </c>
      <c r="BT21" s="155">
        <f t="shared" si="35"/>
        <v>911.66213609999988</v>
      </c>
      <c r="BU21" s="155">
        <f t="shared" si="35"/>
        <v>911.66213609999988</v>
      </c>
      <c r="BV21" s="155">
        <f t="shared" si="35"/>
        <v>911.66213609999988</v>
      </c>
      <c r="BW21" s="155">
        <f t="shared" si="35"/>
        <v>911.66213609999988</v>
      </c>
      <c r="BX21" s="155">
        <f t="shared" si="35"/>
        <v>911.66213609999988</v>
      </c>
      <c r="BY21" s="155">
        <f t="shared" si="35"/>
        <v>911.66213609999988</v>
      </c>
      <c r="BZ21" s="155">
        <f t="shared" si="35"/>
        <v>911.66213609999988</v>
      </c>
      <c r="CA21" s="155">
        <f t="shared" si="35"/>
        <v>911.66213609999988</v>
      </c>
      <c r="CB21" s="155">
        <f t="shared" si="35"/>
        <v>911.66213609999988</v>
      </c>
      <c r="CC21" s="155">
        <f t="shared" si="35"/>
        <v>911.66213609999988</v>
      </c>
      <c r="CD21" s="155">
        <f t="shared" si="35"/>
        <v>939.01200018299983</v>
      </c>
      <c r="CE21" s="156"/>
      <c r="CF21" s="156"/>
      <c r="CG21" s="156"/>
      <c r="CH21" s="156"/>
      <c r="CI21" s="156"/>
      <c r="CJ21" s="156"/>
      <c r="CK21" s="156"/>
      <c r="CL21" s="156"/>
      <c r="CM21" s="156"/>
      <c r="CN21" s="156"/>
      <c r="CO21" s="156"/>
      <c r="CP21" s="156"/>
      <c r="CQ21" s="156"/>
      <c r="CR21" s="156"/>
      <c r="CS21" s="156"/>
      <c r="CT21" s="156"/>
      <c r="CU21" s="156"/>
      <c r="CV21" s="156"/>
      <c r="CW21" s="156"/>
      <c r="CX21" s="156"/>
      <c r="CY21" s="156"/>
      <c r="CZ21" s="156"/>
      <c r="DA21" s="156"/>
      <c r="DB21" s="156"/>
      <c r="DC21" s="156"/>
      <c r="DD21" s="156"/>
      <c r="DE21" s="156"/>
      <c r="DF21" s="156"/>
      <c r="DG21" s="156"/>
      <c r="DH21" s="156"/>
      <c r="DI21" s="156"/>
      <c r="DJ21" s="156"/>
      <c r="DK21" s="156"/>
      <c r="DL21" s="156"/>
      <c r="DM21" s="156"/>
      <c r="DN21" s="156"/>
      <c r="DO21" s="156"/>
      <c r="DP21" s="156"/>
      <c r="DQ21" s="156"/>
      <c r="DR21" s="156"/>
      <c r="DS21" s="156"/>
      <c r="DT21" s="156"/>
      <c r="DU21" s="156"/>
      <c r="DV21" s="156"/>
      <c r="DW21" s="156"/>
      <c r="DX21" s="156"/>
      <c r="DY21" s="156"/>
      <c r="DZ21" s="156"/>
      <c r="EA21" s="156"/>
      <c r="EB21" s="156"/>
      <c r="EC21" s="156"/>
      <c r="ED21" s="156"/>
      <c r="EE21" s="156"/>
      <c r="EF21" s="156"/>
      <c r="EG21" s="156"/>
      <c r="EH21" s="156"/>
      <c r="EI21" s="156"/>
      <c r="EJ21" s="156"/>
      <c r="EK21" s="156"/>
    </row>
    <row r="22" spans="1:141" x14ac:dyDescent="0.2">
      <c r="A22" s="125" t="str">
        <f>'OM Rent Roll'!A11</f>
        <v>4949 H</v>
      </c>
      <c r="B22" s="125" t="str">
        <f>'OM Rent Roll'!B11</f>
        <v>Brittany Hair &amp; Nails</v>
      </c>
      <c r="C22" s="126">
        <f>'OM Rent Roll'!C11</f>
        <v>810</v>
      </c>
      <c r="D22" s="63">
        <f>C22/NRA</f>
        <v>4.5302013422818789E-2</v>
      </c>
      <c r="E22" s="125" t="str">
        <f>'OM Rent Roll'!D11</f>
        <v>MG</v>
      </c>
      <c r="F22" s="127">
        <f>'OM Rent Roll'!G11</f>
        <v>1.6975308641975309</v>
      </c>
      <c r="G22" s="129">
        <f>'OM Rent Roll'!H11</f>
        <v>0</v>
      </c>
      <c r="H22" s="148">
        <f>IF('OM Rent Roll'!E11=0,"",'OM Rent Roll'!E11)</f>
        <v>43070</v>
      </c>
      <c r="I22" s="148">
        <f>IF('OM Rent Roll'!F11=0,"",'OM Rent Roll'!F11)</f>
        <v>46142</v>
      </c>
      <c r="J22" s="128">
        <v>1</v>
      </c>
      <c r="K22" s="60">
        <v>60</v>
      </c>
      <c r="L22" s="60">
        <v>36</v>
      </c>
      <c r="M22" s="179">
        <f>Rent_Growth</f>
        <v>0.03</v>
      </c>
      <c r="N22" s="183">
        <v>0.75</v>
      </c>
      <c r="O22" s="60">
        <v>6</v>
      </c>
      <c r="P22" s="188">
        <v>25</v>
      </c>
      <c r="Q22" s="188">
        <v>5</v>
      </c>
      <c r="R22" s="179">
        <v>0.06</v>
      </c>
      <c r="S22" s="179">
        <v>0.03</v>
      </c>
      <c r="T22" s="60" t="s">
        <v>205</v>
      </c>
      <c r="U22" s="168">
        <v>0</v>
      </c>
      <c r="V22" s="174" t="str">
        <f t="shared" ref="V22:BA22" si="36">IF(OR($I$22="",$I$22=0),IF(V$2&lt;$U$22,"Vacant","Relet"),IF(ISTEXT($I$22),IF($U$22&gt;0,IF(V$2&lt;$U$22,"Downtime","Relet"),IF(V$2&lt;=$O$22,"Downtime","Relet")),IF($I$22&lt;=Close_Date,IF(V$2&lt;=$O$22,"Downtime","Relet"),IF(V$2&lt;=DATEDIF(Close_Date,$I$22,"M"),"In-Term",IF(V$2&lt;=DATEDIF(Close_Date,$I$22,"M")+$O$22,"Downtime","Relet")))))</f>
        <v>Downtime</v>
      </c>
      <c r="W22" s="149" t="str">
        <f t="shared" si="36"/>
        <v>Downtime</v>
      </c>
      <c r="X22" s="149" t="str">
        <f t="shared" si="36"/>
        <v>Downtime</v>
      </c>
      <c r="Y22" s="149" t="str">
        <f t="shared" si="36"/>
        <v>Downtime</v>
      </c>
      <c r="Z22" s="149" t="str">
        <f t="shared" si="36"/>
        <v>Downtime</v>
      </c>
      <c r="AA22" s="149" t="str">
        <f t="shared" si="36"/>
        <v>Downtime</v>
      </c>
      <c r="AB22" s="149" t="str">
        <f t="shared" si="36"/>
        <v>Relet</v>
      </c>
      <c r="AC22" s="149" t="str">
        <f t="shared" si="36"/>
        <v>Relet</v>
      </c>
      <c r="AD22" s="149" t="str">
        <f t="shared" si="36"/>
        <v>Relet</v>
      </c>
      <c r="AE22" s="149" t="str">
        <f t="shared" si="36"/>
        <v>Relet</v>
      </c>
      <c r="AF22" s="149" t="str">
        <f t="shared" si="36"/>
        <v>Relet</v>
      </c>
      <c r="AG22" s="149" t="str">
        <f t="shared" si="36"/>
        <v>Relet</v>
      </c>
      <c r="AH22" s="149" t="str">
        <f t="shared" si="36"/>
        <v>Relet</v>
      </c>
      <c r="AI22" s="149" t="str">
        <f t="shared" si="36"/>
        <v>Relet</v>
      </c>
      <c r="AJ22" s="149" t="str">
        <f t="shared" si="36"/>
        <v>Relet</v>
      </c>
      <c r="AK22" s="149" t="str">
        <f t="shared" si="36"/>
        <v>Relet</v>
      </c>
      <c r="AL22" s="149" t="str">
        <f t="shared" si="36"/>
        <v>Relet</v>
      </c>
      <c r="AM22" s="149" t="str">
        <f t="shared" si="36"/>
        <v>Relet</v>
      </c>
      <c r="AN22" s="149" t="str">
        <f t="shared" si="36"/>
        <v>Relet</v>
      </c>
      <c r="AO22" s="149" t="str">
        <f t="shared" si="36"/>
        <v>Relet</v>
      </c>
      <c r="AP22" s="149" t="str">
        <f t="shared" si="36"/>
        <v>Relet</v>
      </c>
      <c r="AQ22" s="149" t="str">
        <f t="shared" si="36"/>
        <v>Relet</v>
      </c>
      <c r="AR22" s="149" t="str">
        <f t="shared" si="36"/>
        <v>Relet</v>
      </c>
      <c r="AS22" s="149" t="str">
        <f t="shared" si="36"/>
        <v>Relet</v>
      </c>
      <c r="AT22" s="149" t="str">
        <f t="shared" si="36"/>
        <v>Relet</v>
      </c>
      <c r="AU22" s="149" t="str">
        <f t="shared" si="36"/>
        <v>Relet</v>
      </c>
      <c r="AV22" s="149" t="str">
        <f t="shared" si="36"/>
        <v>Relet</v>
      </c>
      <c r="AW22" s="149" t="str">
        <f t="shared" si="36"/>
        <v>Relet</v>
      </c>
      <c r="AX22" s="149" t="str">
        <f t="shared" si="36"/>
        <v>Relet</v>
      </c>
      <c r="AY22" s="149" t="str">
        <f t="shared" si="36"/>
        <v>Relet</v>
      </c>
      <c r="AZ22" s="149" t="str">
        <f t="shared" si="36"/>
        <v>Relet</v>
      </c>
      <c r="BA22" s="149" t="str">
        <f t="shared" si="36"/>
        <v>Relet</v>
      </c>
      <c r="BB22" s="149" t="str">
        <f t="shared" ref="BB22:CD22" si="37">IF(OR($I$22="",$I$22=0),IF(BB$2&lt;$U$22,"Vacant","Relet"),IF(ISTEXT($I$22),IF($U$22&gt;0,IF(BB$2&lt;$U$22,"Downtime","Relet"),IF(BB$2&lt;=$O$22,"Downtime","Relet")),IF($I$22&lt;=Close_Date,IF(BB$2&lt;=$O$22,"Downtime","Relet"),IF(BB$2&lt;=DATEDIF(Close_Date,$I$22,"M"),"In-Term",IF(BB$2&lt;=DATEDIF(Close_Date,$I$22,"M")+$O$22,"Downtime","Relet")))))</f>
        <v>Relet</v>
      </c>
      <c r="BC22" s="149" t="str">
        <f t="shared" si="37"/>
        <v>Relet</v>
      </c>
      <c r="BD22" s="149" t="str">
        <f t="shared" si="37"/>
        <v>Relet</v>
      </c>
      <c r="BE22" s="149" t="str">
        <f t="shared" si="37"/>
        <v>Relet</v>
      </c>
      <c r="BF22" s="149" t="str">
        <f t="shared" si="37"/>
        <v>Relet</v>
      </c>
      <c r="BG22" s="149" t="str">
        <f t="shared" si="37"/>
        <v>Relet</v>
      </c>
      <c r="BH22" s="149" t="str">
        <f t="shared" si="37"/>
        <v>Relet</v>
      </c>
      <c r="BI22" s="149" t="str">
        <f t="shared" si="37"/>
        <v>Relet</v>
      </c>
      <c r="BJ22" s="149" t="str">
        <f t="shared" si="37"/>
        <v>Relet</v>
      </c>
      <c r="BK22" s="149" t="str">
        <f t="shared" si="37"/>
        <v>Relet</v>
      </c>
      <c r="BL22" s="149" t="str">
        <f t="shared" si="37"/>
        <v>Relet</v>
      </c>
      <c r="BM22" s="149" t="str">
        <f t="shared" si="37"/>
        <v>Relet</v>
      </c>
      <c r="BN22" s="149" t="str">
        <f t="shared" si="37"/>
        <v>Relet</v>
      </c>
      <c r="BO22" s="149" t="str">
        <f t="shared" si="37"/>
        <v>Relet</v>
      </c>
      <c r="BP22" s="149" t="str">
        <f t="shared" si="37"/>
        <v>Relet</v>
      </c>
      <c r="BQ22" s="149" t="str">
        <f t="shared" si="37"/>
        <v>Relet</v>
      </c>
      <c r="BR22" s="149" t="str">
        <f t="shared" si="37"/>
        <v>Relet</v>
      </c>
      <c r="BS22" s="149" t="str">
        <f t="shared" si="37"/>
        <v>Relet</v>
      </c>
      <c r="BT22" s="149" t="str">
        <f t="shared" si="37"/>
        <v>Relet</v>
      </c>
      <c r="BU22" s="149" t="str">
        <f t="shared" si="37"/>
        <v>Relet</v>
      </c>
      <c r="BV22" s="149" t="str">
        <f t="shared" si="37"/>
        <v>Relet</v>
      </c>
      <c r="BW22" s="149" t="str">
        <f t="shared" si="37"/>
        <v>Relet</v>
      </c>
      <c r="BX22" s="149" t="str">
        <f t="shared" si="37"/>
        <v>Relet</v>
      </c>
      <c r="BY22" s="149" t="str">
        <f t="shared" si="37"/>
        <v>Relet</v>
      </c>
      <c r="BZ22" s="149" t="str">
        <f t="shared" si="37"/>
        <v>Relet</v>
      </c>
      <c r="CA22" s="149" t="str">
        <f t="shared" si="37"/>
        <v>Relet</v>
      </c>
      <c r="CB22" s="149" t="str">
        <f t="shared" si="37"/>
        <v>Relet</v>
      </c>
      <c r="CC22" s="149" t="str">
        <f t="shared" si="37"/>
        <v>Relet</v>
      </c>
      <c r="CD22" s="149" t="str">
        <f t="shared" si="37"/>
        <v>Relet</v>
      </c>
    </row>
    <row r="23" spans="1:141" x14ac:dyDescent="0.2">
      <c r="A23" s="150"/>
      <c r="B23" s="151" t="s">
        <v>203</v>
      </c>
      <c r="C23" s="150"/>
      <c r="D23" s="150"/>
      <c r="E23" s="150"/>
      <c r="F23" s="150"/>
      <c r="G23" s="150"/>
      <c r="H23" s="150"/>
      <c r="I23" s="150"/>
      <c r="J23" s="152"/>
      <c r="K23" s="150"/>
      <c r="L23" s="150"/>
      <c r="M23" s="180"/>
      <c r="N23" s="184"/>
      <c r="O23" s="150"/>
      <c r="P23" s="180"/>
      <c r="Q23" s="180"/>
      <c r="R23" s="180"/>
      <c r="S23" s="180"/>
      <c r="T23" s="150"/>
      <c r="U23" s="169"/>
      <c r="V23" s="175">
        <f t="shared" ref="V23:BA23" si="38">IF(V22="Vacant",0,IF(V22="In-Term",$F$22*(1+$G$22)^(INT((V$2-1)/12)),IF(AND(V22="Downtime",ISTEXT($I$22)),$F$22,$J$22*(1+$M$22)^(INT((V$2-1)/12)))))</f>
        <v>1</v>
      </c>
      <c r="W23" s="153">
        <f t="shared" si="38"/>
        <v>1</v>
      </c>
      <c r="X23" s="153">
        <f t="shared" si="38"/>
        <v>1</v>
      </c>
      <c r="Y23" s="153">
        <f t="shared" si="38"/>
        <v>1</v>
      </c>
      <c r="Z23" s="153">
        <f t="shared" si="38"/>
        <v>1</v>
      </c>
      <c r="AA23" s="153">
        <f t="shared" si="38"/>
        <v>1</v>
      </c>
      <c r="AB23" s="153">
        <f t="shared" si="38"/>
        <v>1</v>
      </c>
      <c r="AC23" s="153">
        <f t="shared" si="38"/>
        <v>1</v>
      </c>
      <c r="AD23" s="153">
        <f t="shared" si="38"/>
        <v>1</v>
      </c>
      <c r="AE23" s="153">
        <f t="shared" si="38"/>
        <v>1</v>
      </c>
      <c r="AF23" s="153">
        <f t="shared" si="38"/>
        <v>1</v>
      </c>
      <c r="AG23" s="153">
        <f t="shared" si="38"/>
        <v>1</v>
      </c>
      <c r="AH23" s="153">
        <f t="shared" si="38"/>
        <v>1.03</v>
      </c>
      <c r="AI23" s="153">
        <f t="shared" si="38"/>
        <v>1.03</v>
      </c>
      <c r="AJ23" s="153">
        <f t="shared" si="38"/>
        <v>1.03</v>
      </c>
      <c r="AK23" s="153">
        <f t="shared" si="38"/>
        <v>1.03</v>
      </c>
      <c r="AL23" s="153">
        <f t="shared" si="38"/>
        <v>1.03</v>
      </c>
      <c r="AM23" s="153">
        <f t="shared" si="38"/>
        <v>1.03</v>
      </c>
      <c r="AN23" s="153">
        <f t="shared" si="38"/>
        <v>1.03</v>
      </c>
      <c r="AO23" s="153">
        <f t="shared" si="38"/>
        <v>1.03</v>
      </c>
      <c r="AP23" s="153">
        <f t="shared" si="38"/>
        <v>1.03</v>
      </c>
      <c r="AQ23" s="153">
        <f t="shared" si="38"/>
        <v>1.03</v>
      </c>
      <c r="AR23" s="153">
        <f t="shared" si="38"/>
        <v>1.03</v>
      </c>
      <c r="AS23" s="153">
        <f t="shared" si="38"/>
        <v>1.03</v>
      </c>
      <c r="AT23" s="153">
        <f t="shared" si="38"/>
        <v>1.0609</v>
      </c>
      <c r="AU23" s="153">
        <f t="shared" si="38"/>
        <v>1.0609</v>
      </c>
      <c r="AV23" s="153">
        <f t="shared" si="38"/>
        <v>1.0609</v>
      </c>
      <c r="AW23" s="153">
        <f t="shared" si="38"/>
        <v>1.0609</v>
      </c>
      <c r="AX23" s="153">
        <f t="shared" si="38"/>
        <v>1.0609</v>
      </c>
      <c r="AY23" s="153">
        <f t="shared" si="38"/>
        <v>1.0609</v>
      </c>
      <c r="AZ23" s="153">
        <f t="shared" si="38"/>
        <v>1.0609</v>
      </c>
      <c r="BA23" s="153">
        <f t="shared" si="38"/>
        <v>1.0609</v>
      </c>
      <c r="BB23" s="153">
        <f t="shared" ref="BB23:CD23" si="39">IF(BB22="Vacant",0,IF(BB22="In-Term",$F$22*(1+$G$22)^(INT((BB$2-1)/12)),IF(AND(BB22="Downtime",ISTEXT($I$22)),$F$22,$J$22*(1+$M$22)^(INT((BB$2-1)/12)))))</f>
        <v>1.0609</v>
      </c>
      <c r="BC23" s="153">
        <f t="shared" si="39"/>
        <v>1.0609</v>
      </c>
      <c r="BD23" s="153">
        <f t="shared" si="39"/>
        <v>1.0609</v>
      </c>
      <c r="BE23" s="153">
        <f t="shared" si="39"/>
        <v>1.0609</v>
      </c>
      <c r="BF23" s="153">
        <f t="shared" si="39"/>
        <v>1.092727</v>
      </c>
      <c r="BG23" s="153">
        <f t="shared" si="39"/>
        <v>1.092727</v>
      </c>
      <c r="BH23" s="153">
        <f t="shared" si="39"/>
        <v>1.092727</v>
      </c>
      <c r="BI23" s="153">
        <f t="shared" si="39"/>
        <v>1.092727</v>
      </c>
      <c r="BJ23" s="153">
        <f t="shared" si="39"/>
        <v>1.092727</v>
      </c>
      <c r="BK23" s="153">
        <f t="shared" si="39"/>
        <v>1.092727</v>
      </c>
      <c r="BL23" s="153">
        <f t="shared" si="39"/>
        <v>1.092727</v>
      </c>
      <c r="BM23" s="153">
        <f t="shared" si="39"/>
        <v>1.092727</v>
      </c>
      <c r="BN23" s="153">
        <f t="shared" si="39"/>
        <v>1.092727</v>
      </c>
      <c r="BO23" s="153">
        <f t="shared" si="39"/>
        <v>1.092727</v>
      </c>
      <c r="BP23" s="153">
        <f t="shared" si="39"/>
        <v>1.092727</v>
      </c>
      <c r="BQ23" s="153">
        <f t="shared" si="39"/>
        <v>1.092727</v>
      </c>
      <c r="BR23" s="153">
        <f t="shared" si="39"/>
        <v>1.1255088099999999</v>
      </c>
      <c r="BS23" s="153">
        <f t="shared" si="39"/>
        <v>1.1255088099999999</v>
      </c>
      <c r="BT23" s="153">
        <f t="shared" si="39"/>
        <v>1.1255088099999999</v>
      </c>
      <c r="BU23" s="153">
        <f t="shared" si="39"/>
        <v>1.1255088099999999</v>
      </c>
      <c r="BV23" s="153">
        <f t="shared" si="39"/>
        <v>1.1255088099999999</v>
      </c>
      <c r="BW23" s="153">
        <f t="shared" si="39"/>
        <v>1.1255088099999999</v>
      </c>
      <c r="BX23" s="153">
        <f t="shared" si="39"/>
        <v>1.1255088099999999</v>
      </c>
      <c r="BY23" s="153">
        <f t="shared" si="39"/>
        <v>1.1255088099999999</v>
      </c>
      <c r="BZ23" s="153">
        <f t="shared" si="39"/>
        <v>1.1255088099999999</v>
      </c>
      <c r="CA23" s="153">
        <f t="shared" si="39"/>
        <v>1.1255088099999999</v>
      </c>
      <c r="CB23" s="153">
        <f t="shared" si="39"/>
        <v>1.1255088099999999</v>
      </c>
      <c r="CC23" s="153">
        <f t="shared" si="39"/>
        <v>1.1255088099999999</v>
      </c>
      <c r="CD23" s="153">
        <f t="shared" si="39"/>
        <v>1.1592740742999998</v>
      </c>
      <c r="CE23" s="154"/>
      <c r="CF23" s="154"/>
      <c r="CG23" s="154"/>
      <c r="CH23" s="154"/>
      <c r="CI23" s="154"/>
      <c r="CJ23" s="154"/>
      <c r="CK23" s="154"/>
      <c r="CL23" s="154"/>
      <c r="CM23" s="154"/>
      <c r="CN23" s="154"/>
      <c r="CO23" s="154"/>
      <c r="CP23" s="154"/>
      <c r="CQ23" s="154"/>
      <c r="CR23" s="154"/>
      <c r="CS23" s="154"/>
      <c r="CT23" s="154"/>
      <c r="CU23" s="154"/>
      <c r="CV23" s="154"/>
      <c r="CW23" s="154"/>
      <c r="CX23" s="154"/>
      <c r="CY23" s="154"/>
      <c r="CZ23" s="154"/>
      <c r="DA23" s="154"/>
      <c r="DB23" s="154"/>
      <c r="DC23" s="154"/>
      <c r="DD23" s="154"/>
      <c r="DE23" s="154"/>
      <c r="DF23" s="154"/>
      <c r="DG23" s="154"/>
      <c r="DH23" s="154"/>
      <c r="DI23" s="154"/>
      <c r="DJ23" s="154"/>
      <c r="DK23" s="154"/>
      <c r="DL23" s="154"/>
      <c r="DM23" s="154"/>
      <c r="DN23" s="154"/>
      <c r="DO23" s="154"/>
      <c r="DP23" s="154"/>
      <c r="DQ23" s="154"/>
      <c r="DR23" s="154"/>
      <c r="DS23" s="154"/>
      <c r="DT23" s="154"/>
      <c r="DU23" s="154"/>
      <c r="DV23" s="154"/>
      <c r="DW23" s="154"/>
      <c r="DX23" s="154"/>
      <c r="DY23" s="154"/>
      <c r="DZ23" s="154"/>
      <c r="EA23" s="154"/>
      <c r="EB23" s="154"/>
      <c r="EC23" s="154"/>
      <c r="ED23" s="154"/>
      <c r="EE23" s="154"/>
      <c r="EF23" s="154"/>
      <c r="EG23" s="154"/>
      <c r="EH23" s="154"/>
      <c r="EI23" s="154"/>
      <c r="EJ23" s="154"/>
      <c r="EK23" s="154"/>
    </row>
    <row r="24" spans="1:141" x14ac:dyDescent="0.2">
      <c r="A24" s="150"/>
      <c r="B24" s="151" t="s">
        <v>204</v>
      </c>
      <c r="C24" s="150"/>
      <c r="D24" s="150"/>
      <c r="E24" s="150"/>
      <c r="F24" s="150"/>
      <c r="G24" s="150"/>
      <c r="H24" s="150"/>
      <c r="I24" s="150"/>
      <c r="J24" s="152"/>
      <c r="K24" s="150"/>
      <c r="L24" s="150"/>
      <c r="M24" s="180"/>
      <c r="N24" s="184"/>
      <c r="O24" s="150"/>
      <c r="P24" s="180"/>
      <c r="Q24" s="180"/>
      <c r="R24" s="180"/>
      <c r="S24" s="180"/>
      <c r="T24" s="150"/>
      <c r="U24" s="169"/>
      <c r="V24" s="176">
        <f t="shared" ref="V24:BA24" si="40">IF(V22="Vacant",0,IF(V22="Downtime",$N$22*V23*$C$22,V23*$C$22))</f>
        <v>607.5</v>
      </c>
      <c r="W24" s="155">
        <f t="shared" si="40"/>
        <v>607.5</v>
      </c>
      <c r="X24" s="155">
        <f t="shared" si="40"/>
        <v>607.5</v>
      </c>
      <c r="Y24" s="155">
        <f t="shared" si="40"/>
        <v>607.5</v>
      </c>
      <c r="Z24" s="155">
        <f t="shared" si="40"/>
        <v>607.5</v>
      </c>
      <c r="AA24" s="155">
        <f t="shared" si="40"/>
        <v>607.5</v>
      </c>
      <c r="AB24" s="155">
        <f t="shared" si="40"/>
        <v>810</v>
      </c>
      <c r="AC24" s="155">
        <f t="shared" si="40"/>
        <v>810</v>
      </c>
      <c r="AD24" s="155">
        <f t="shared" si="40"/>
        <v>810</v>
      </c>
      <c r="AE24" s="155">
        <f t="shared" si="40"/>
        <v>810</v>
      </c>
      <c r="AF24" s="155">
        <f t="shared" si="40"/>
        <v>810</v>
      </c>
      <c r="AG24" s="155">
        <f t="shared" si="40"/>
        <v>810</v>
      </c>
      <c r="AH24" s="155">
        <f t="shared" si="40"/>
        <v>834.30000000000007</v>
      </c>
      <c r="AI24" s="155">
        <f t="shared" si="40"/>
        <v>834.30000000000007</v>
      </c>
      <c r="AJ24" s="155">
        <f t="shared" si="40"/>
        <v>834.30000000000007</v>
      </c>
      <c r="AK24" s="155">
        <f t="shared" si="40"/>
        <v>834.30000000000007</v>
      </c>
      <c r="AL24" s="155">
        <f t="shared" si="40"/>
        <v>834.30000000000007</v>
      </c>
      <c r="AM24" s="155">
        <f t="shared" si="40"/>
        <v>834.30000000000007</v>
      </c>
      <c r="AN24" s="155">
        <f t="shared" si="40"/>
        <v>834.30000000000007</v>
      </c>
      <c r="AO24" s="155">
        <f t="shared" si="40"/>
        <v>834.30000000000007</v>
      </c>
      <c r="AP24" s="155">
        <f t="shared" si="40"/>
        <v>834.30000000000007</v>
      </c>
      <c r="AQ24" s="155">
        <f t="shared" si="40"/>
        <v>834.30000000000007</v>
      </c>
      <c r="AR24" s="155">
        <f t="shared" si="40"/>
        <v>834.30000000000007</v>
      </c>
      <c r="AS24" s="155">
        <f t="shared" si="40"/>
        <v>834.30000000000007</v>
      </c>
      <c r="AT24" s="155">
        <f t="shared" si="40"/>
        <v>859.32899999999995</v>
      </c>
      <c r="AU24" s="155">
        <f t="shared" si="40"/>
        <v>859.32899999999995</v>
      </c>
      <c r="AV24" s="155">
        <f t="shared" si="40"/>
        <v>859.32899999999995</v>
      </c>
      <c r="AW24" s="155">
        <f t="shared" si="40"/>
        <v>859.32899999999995</v>
      </c>
      <c r="AX24" s="155">
        <f t="shared" si="40"/>
        <v>859.32899999999995</v>
      </c>
      <c r="AY24" s="155">
        <f t="shared" si="40"/>
        <v>859.32899999999995</v>
      </c>
      <c r="AZ24" s="155">
        <f t="shared" si="40"/>
        <v>859.32899999999995</v>
      </c>
      <c r="BA24" s="155">
        <f t="shared" si="40"/>
        <v>859.32899999999995</v>
      </c>
      <c r="BB24" s="155">
        <f t="shared" ref="BB24:CD24" si="41">IF(BB22="Vacant",0,IF(BB22="Downtime",$N$22*BB23*$C$22,BB23*$C$22))</f>
        <v>859.32899999999995</v>
      </c>
      <c r="BC24" s="155">
        <f t="shared" si="41"/>
        <v>859.32899999999995</v>
      </c>
      <c r="BD24" s="155">
        <f t="shared" si="41"/>
        <v>859.32899999999995</v>
      </c>
      <c r="BE24" s="155">
        <f t="shared" si="41"/>
        <v>859.32899999999995</v>
      </c>
      <c r="BF24" s="155">
        <f t="shared" si="41"/>
        <v>885.10887000000002</v>
      </c>
      <c r="BG24" s="155">
        <f t="shared" si="41"/>
        <v>885.10887000000002</v>
      </c>
      <c r="BH24" s="155">
        <f t="shared" si="41"/>
        <v>885.10887000000002</v>
      </c>
      <c r="BI24" s="155">
        <f t="shared" si="41"/>
        <v>885.10887000000002</v>
      </c>
      <c r="BJ24" s="155">
        <f t="shared" si="41"/>
        <v>885.10887000000002</v>
      </c>
      <c r="BK24" s="155">
        <f t="shared" si="41"/>
        <v>885.10887000000002</v>
      </c>
      <c r="BL24" s="155">
        <f t="shared" si="41"/>
        <v>885.10887000000002</v>
      </c>
      <c r="BM24" s="155">
        <f t="shared" si="41"/>
        <v>885.10887000000002</v>
      </c>
      <c r="BN24" s="155">
        <f t="shared" si="41"/>
        <v>885.10887000000002</v>
      </c>
      <c r="BO24" s="155">
        <f t="shared" si="41"/>
        <v>885.10887000000002</v>
      </c>
      <c r="BP24" s="155">
        <f t="shared" si="41"/>
        <v>885.10887000000002</v>
      </c>
      <c r="BQ24" s="155">
        <f t="shared" si="41"/>
        <v>885.10887000000002</v>
      </c>
      <c r="BR24" s="155">
        <f t="shared" si="41"/>
        <v>911.66213609999988</v>
      </c>
      <c r="BS24" s="155">
        <f t="shared" si="41"/>
        <v>911.66213609999988</v>
      </c>
      <c r="BT24" s="155">
        <f t="shared" si="41"/>
        <v>911.66213609999988</v>
      </c>
      <c r="BU24" s="155">
        <f t="shared" si="41"/>
        <v>911.66213609999988</v>
      </c>
      <c r="BV24" s="155">
        <f t="shared" si="41"/>
        <v>911.66213609999988</v>
      </c>
      <c r="BW24" s="155">
        <f t="shared" si="41"/>
        <v>911.66213609999988</v>
      </c>
      <c r="BX24" s="155">
        <f t="shared" si="41"/>
        <v>911.66213609999988</v>
      </c>
      <c r="BY24" s="155">
        <f t="shared" si="41"/>
        <v>911.66213609999988</v>
      </c>
      <c r="BZ24" s="155">
        <f t="shared" si="41"/>
        <v>911.66213609999988</v>
      </c>
      <c r="CA24" s="155">
        <f t="shared" si="41"/>
        <v>911.66213609999988</v>
      </c>
      <c r="CB24" s="155">
        <f t="shared" si="41"/>
        <v>911.66213609999988</v>
      </c>
      <c r="CC24" s="155">
        <f t="shared" si="41"/>
        <v>911.66213609999988</v>
      </c>
      <c r="CD24" s="155">
        <f t="shared" si="41"/>
        <v>939.01200018299983</v>
      </c>
      <c r="CE24" s="156"/>
      <c r="CF24" s="156"/>
      <c r="CG24" s="156"/>
      <c r="CH24" s="156"/>
      <c r="CI24" s="156"/>
      <c r="CJ24" s="156"/>
      <c r="CK24" s="156"/>
      <c r="CL24" s="156"/>
      <c r="CM24" s="156"/>
      <c r="CN24" s="156"/>
      <c r="CO24" s="156"/>
      <c r="CP24" s="156"/>
      <c r="CQ24" s="156"/>
      <c r="CR24" s="156"/>
      <c r="CS24" s="156"/>
      <c r="CT24" s="156"/>
      <c r="CU24" s="156"/>
      <c r="CV24" s="156"/>
      <c r="CW24" s="156"/>
      <c r="CX24" s="156"/>
      <c r="CY24" s="156"/>
      <c r="CZ24" s="156"/>
      <c r="DA24" s="156"/>
      <c r="DB24" s="156"/>
      <c r="DC24" s="156"/>
      <c r="DD24" s="156"/>
      <c r="DE24" s="156"/>
      <c r="DF24" s="156"/>
      <c r="DG24" s="156"/>
      <c r="DH24" s="156"/>
      <c r="DI24" s="156"/>
      <c r="DJ24" s="156"/>
      <c r="DK24" s="156"/>
      <c r="DL24" s="156"/>
      <c r="DM24" s="156"/>
      <c r="DN24" s="156"/>
      <c r="DO24" s="156"/>
      <c r="DP24" s="156"/>
      <c r="DQ24" s="156"/>
      <c r="DR24" s="156"/>
      <c r="DS24" s="156"/>
      <c r="DT24" s="156"/>
      <c r="DU24" s="156"/>
      <c r="DV24" s="156"/>
      <c r="DW24" s="156"/>
      <c r="DX24" s="156"/>
      <c r="DY24" s="156"/>
      <c r="DZ24" s="156"/>
      <c r="EA24" s="156"/>
      <c r="EB24" s="156"/>
      <c r="EC24" s="156"/>
      <c r="ED24" s="156"/>
      <c r="EE24" s="156"/>
      <c r="EF24" s="156"/>
      <c r="EG24" s="156"/>
      <c r="EH24" s="156"/>
      <c r="EI24" s="156"/>
      <c r="EJ24" s="156"/>
      <c r="EK24" s="156"/>
    </row>
    <row r="25" spans="1:141" x14ac:dyDescent="0.2">
      <c r="A25" s="130" t="str">
        <f>'OM Rent Roll'!A12</f>
        <v>4949 I</v>
      </c>
      <c r="B25" s="130" t="str">
        <f>'OM Rent Roll'!B12</f>
        <v>Madeville Hair Salon</v>
      </c>
      <c r="C25" s="131">
        <f>'OM Rent Roll'!C12</f>
        <v>810</v>
      </c>
      <c r="D25" s="83">
        <f>C25/NRA</f>
        <v>4.5302013422818789E-2</v>
      </c>
      <c r="E25" s="130" t="str">
        <f>'OM Rent Roll'!D12</f>
        <v>NNN</v>
      </c>
      <c r="F25" s="132">
        <f>'OM Rent Roll'!G12</f>
        <v>1.219753086419753</v>
      </c>
      <c r="G25" s="133">
        <f>'OM Rent Roll'!H12</f>
        <v>0</v>
      </c>
      <c r="H25" s="159" t="str">
        <f>IF('OM Rent Roll'!E12=0,"",'OM Rent Roll'!E12)</f>
        <v>MTM</v>
      </c>
      <c r="I25" s="130" t="str">
        <f>IF('OM Rent Roll'!F12=0,"",'OM Rent Roll'!F12)</f>
        <v>MTM</v>
      </c>
      <c r="J25" s="128">
        <v>1</v>
      </c>
      <c r="K25" s="80">
        <v>60</v>
      </c>
      <c r="L25" s="80">
        <v>36</v>
      </c>
      <c r="M25" s="181">
        <f>Rent_Growth</f>
        <v>0.03</v>
      </c>
      <c r="N25" s="185">
        <v>0.5</v>
      </c>
      <c r="O25" s="80">
        <v>6</v>
      </c>
      <c r="P25" s="189">
        <v>25</v>
      </c>
      <c r="Q25" s="189">
        <v>5</v>
      </c>
      <c r="R25" s="181">
        <v>0.06</v>
      </c>
      <c r="S25" s="181">
        <v>0.03</v>
      </c>
      <c r="T25" s="80" t="s">
        <v>202</v>
      </c>
      <c r="U25" s="170">
        <v>0</v>
      </c>
      <c r="V25" s="174" t="str">
        <f t="shared" ref="V25:BA25" si="42">IF(OR($I$25="",$I$25=0),IF(V$2&lt;$U$25,"Vacant","Relet"),IF(ISTEXT($I$25),IF($U$25&gt;0,IF(V$2&lt;$U$25,"Downtime","Relet"),IF(V$2&lt;=$O$25,"Downtime","Relet")),IF($I$25&lt;=Close_Date,IF(V$2&lt;=$O$25,"Downtime","Relet"),IF(V$2&lt;=DATEDIF(Close_Date,$I$25,"M"),"In-Term",IF(V$2&lt;=DATEDIF(Close_Date,$I$25,"M")+$O$25,"Downtime","Relet")))))</f>
        <v>Downtime</v>
      </c>
      <c r="W25" s="149" t="str">
        <f t="shared" si="42"/>
        <v>Downtime</v>
      </c>
      <c r="X25" s="149" t="str">
        <f t="shared" si="42"/>
        <v>Downtime</v>
      </c>
      <c r="Y25" s="149" t="str">
        <f t="shared" si="42"/>
        <v>Downtime</v>
      </c>
      <c r="Z25" s="149" t="str">
        <f t="shared" si="42"/>
        <v>Downtime</v>
      </c>
      <c r="AA25" s="149" t="str">
        <f t="shared" si="42"/>
        <v>Downtime</v>
      </c>
      <c r="AB25" s="149" t="str">
        <f t="shared" si="42"/>
        <v>Relet</v>
      </c>
      <c r="AC25" s="149" t="str">
        <f t="shared" si="42"/>
        <v>Relet</v>
      </c>
      <c r="AD25" s="149" t="str">
        <f t="shared" si="42"/>
        <v>Relet</v>
      </c>
      <c r="AE25" s="149" t="str">
        <f t="shared" si="42"/>
        <v>Relet</v>
      </c>
      <c r="AF25" s="149" t="str">
        <f t="shared" si="42"/>
        <v>Relet</v>
      </c>
      <c r="AG25" s="149" t="str">
        <f t="shared" si="42"/>
        <v>Relet</v>
      </c>
      <c r="AH25" s="149" t="str">
        <f t="shared" si="42"/>
        <v>Relet</v>
      </c>
      <c r="AI25" s="149" t="str">
        <f t="shared" si="42"/>
        <v>Relet</v>
      </c>
      <c r="AJ25" s="149" t="str">
        <f t="shared" si="42"/>
        <v>Relet</v>
      </c>
      <c r="AK25" s="149" t="str">
        <f t="shared" si="42"/>
        <v>Relet</v>
      </c>
      <c r="AL25" s="149" t="str">
        <f t="shared" si="42"/>
        <v>Relet</v>
      </c>
      <c r="AM25" s="149" t="str">
        <f t="shared" si="42"/>
        <v>Relet</v>
      </c>
      <c r="AN25" s="149" t="str">
        <f t="shared" si="42"/>
        <v>Relet</v>
      </c>
      <c r="AO25" s="149" t="str">
        <f t="shared" si="42"/>
        <v>Relet</v>
      </c>
      <c r="AP25" s="149" t="str">
        <f t="shared" si="42"/>
        <v>Relet</v>
      </c>
      <c r="AQ25" s="149" t="str">
        <f t="shared" si="42"/>
        <v>Relet</v>
      </c>
      <c r="AR25" s="149" t="str">
        <f t="shared" si="42"/>
        <v>Relet</v>
      </c>
      <c r="AS25" s="149" t="str">
        <f t="shared" si="42"/>
        <v>Relet</v>
      </c>
      <c r="AT25" s="149" t="str">
        <f t="shared" si="42"/>
        <v>Relet</v>
      </c>
      <c r="AU25" s="149" t="str">
        <f t="shared" si="42"/>
        <v>Relet</v>
      </c>
      <c r="AV25" s="149" t="str">
        <f t="shared" si="42"/>
        <v>Relet</v>
      </c>
      <c r="AW25" s="149" t="str">
        <f t="shared" si="42"/>
        <v>Relet</v>
      </c>
      <c r="AX25" s="149" t="str">
        <f t="shared" si="42"/>
        <v>Relet</v>
      </c>
      <c r="AY25" s="149" t="str">
        <f t="shared" si="42"/>
        <v>Relet</v>
      </c>
      <c r="AZ25" s="149" t="str">
        <f t="shared" si="42"/>
        <v>Relet</v>
      </c>
      <c r="BA25" s="149" t="str">
        <f t="shared" si="42"/>
        <v>Relet</v>
      </c>
      <c r="BB25" s="149" t="str">
        <f t="shared" ref="BB25:CD25" si="43">IF(OR($I$25="",$I$25=0),IF(BB$2&lt;$U$25,"Vacant","Relet"),IF(ISTEXT($I$25),IF($U$25&gt;0,IF(BB$2&lt;$U$25,"Downtime","Relet"),IF(BB$2&lt;=$O$25,"Downtime","Relet")),IF($I$25&lt;=Close_Date,IF(BB$2&lt;=$O$25,"Downtime","Relet"),IF(BB$2&lt;=DATEDIF(Close_Date,$I$25,"M"),"In-Term",IF(BB$2&lt;=DATEDIF(Close_Date,$I$25,"M")+$O$25,"Downtime","Relet")))))</f>
        <v>Relet</v>
      </c>
      <c r="BC25" s="149" t="str">
        <f t="shared" si="43"/>
        <v>Relet</v>
      </c>
      <c r="BD25" s="149" t="str">
        <f t="shared" si="43"/>
        <v>Relet</v>
      </c>
      <c r="BE25" s="149" t="str">
        <f t="shared" si="43"/>
        <v>Relet</v>
      </c>
      <c r="BF25" s="149" t="str">
        <f t="shared" si="43"/>
        <v>Relet</v>
      </c>
      <c r="BG25" s="149" t="str">
        <f t="shared" si="43"/>
        <v>Relet</v>
      </c>
      <c r="BH25" s="149" t="str">
        <f t="shared" si="43"/>
        <v>Relet</v>
      </c>
      <c r="BI25" s="149" t="str">
        <f t="shared" si="43"/>
        <v>Relet</v>
      </c>
      <c r="BJ25" s="149" t="str">
        <f t="shared" si="43"/>
        <v>Relet</v>
      </c>
      <c r="BK25" s="149" t="str">
        <f t="shared" si="43"/>
        <v>Relet</v>
      </c>
      <c r="BL25" s="149" t="str">
        <f t="shared" si="43"/>
        <v>Relet</v>
      </c>
      <c r="BM25" s="149" t="str">
        <f t="shared" si="43"/>
        <v>Relet</v>
      </c>
      <c r="BN25" s="149" t="str">
        <f t="shared" si="43"/>
        <v>Relet</v>
      </c>
      <c r="BO25" s="149" t="str">
        <f t="shared" si="43"/>
        <v>Relet</v>
      </c>
      <c r="BP25" s="149" t="str">
        <f t="shared" si="43"/>
        <v>Relet</v>
      </c>
      <c r="BQ25" s="149" t="str">
        <f t="shared" si="43"/>
        <v>Relet</v>
      </c>
      <c r="BR25" s="149" t="str">
        <f t="shared" si="43"/>
        <v>Relet</v>
      </c>
      <c r="BS25" s="149" t="str">
        <f t="shared" si="43"/>
        <v>Relet</v>
      </c>
      <c r="BT25" s="149" t="str">
        <f t="shared" si="43"/>
        <v>Relet</v>
      </c>
      <c r="BU25" s="149" t="str">
        <f t="shared" si="43"/>
        <v>Relet</v>
      </c>
      <c r="BV25" s="149" t="str">
        <f t="shared" si="43"/>
        <v>Relet</v>
      </c>
      <c r="BW25" s="149" t="str">
        <f t="shared" si="43"/>
        <v>Relet</v>
      </c>
      <c r="BX25" s="149" t="str">
        <f t="shared" si="43"/>
        <v>Relet</v>
      </c>
      <c r="BY25" s="149" t="str">
        <f t="shared" si="43"/>
        <v>Relet</v>
      </c>
      <c r="BZ25" s="149" t="str">
        <f t="shared" si="43"/>
        <v>Relet</v>
      </c>
      <c r="CA25" s="149" t="str">
        <f t="shared" si="43"/>
        <v>Relet</v>
      </c>
      <c r="CB25" s="149" t="str">
        <f t="shared" si="43"/>
        <v>Relet</v>
      </c>
      <c r="CC25" s="149" t="str">
        <f t="shared" si="43"/>
        <v>Relet</v>
      </c>
      <c r="CD25" s="149" t="str">
        <f t="shared" si="43"/>
        <v>Relet</v>
      </c>
    </row>
    <row r="26" spans="1:141" x14ac:dyDescent="0.2">
      <c r="A26" s="157"/>
      <c r="B26" s="158" t="s">
        <v>203</v>
      </c>
      <c r="C26" s="157"/>
      <c r="D26" s="157"/>
      <c r="E26" s="157"/>
      <c r="F26" s="157"/>
      <c r="G26" s="157"/>
      <c r="H26" s="157"/>
      <c r="I26" s="157"/>
      <c r="J26" s="152"/>
      <c r="K26" s="157"/>
      <c r="L26" s="157"/>
      <c r="M26" s="182"/>
      <c r="N26" s="186"/>
      <c r="O26" s="157"/>
      <c r="P26" s="182"/>
      <c r="Q26" s="182"/>
      <c r="R26" s="182"/>
      <c r="S26" s="182"/>
      <c r="T26" s="157"/>
      <c r="U26" s="171"/>
      <c r="V26" s="175">
        <f t="shared" ref="V26:BA26" si="44">IF(V25="Vacant",0,IF(V25="In-Term",$F$25*(1+$G$25)^(INT((V$2-1)/12)),IF(AND(V25="Downtime",ISTEXT($I$25)),$F$25,$J$25*(1+$M$25)^(INT((V$2-1)/12)))))</f>
        <v>1.219753086419753</v>
      </c>
      <c r="W26" s="153">
        <f t="shared" si="44"/>
        <v>1.219753086419753</v>
      </c>
      <c r="X26" s="153">
        <f t="shared" si="44"/>
        <v>1.219753086419753</v>
      </c>
      <c r="Y26" s="153">
        <f t="shared" si="44"/>
        <v>1.219753086419753</v>
      </c>
      <c r="Z26" s="153">
        <f t="shared" si="44"/>
        <v>1.219753086419753</v>
      </c>
      <c r="AA26" s="153">
        <f t="shared" si="44"/>
        <v>1.219753086419753</v>
      </c>
      <c r="AB26" s="153">
        <f t="shared" si="44"/>
        <v>1</v>
      </c>
      <c r="AC26" s="153">
        <f t="shared" si="44"/>
        <v>1</v>
      </c>
      <c r="AD26" s="153">
        <f t="shared" si="44"/>
        <v>1</v>
      </c>
      <c r="AE26" s="153">
        <f t="shared" si="44"/>
        <v>1</v>
      </c>
      <c r="AF26" s="153">
        <f t="shared" si="44"/>
        <v>1</v>
      </c>
      <c r="AG26" s="153">
        <f t="shared" si="44"/>
        <v>1</v>
      </c>
      <c r="AH26" s="153">
        <f t="shared" si="44"/>
        <v>1.03</v>
      </c>
      <c r="AI26" s="153">
        <f t="shared" si="44"/>
        <v>1.03</v>
      </c>
      <c r="AJ26" s="153">
        <f t="shared" si="44"/>
        <v>1.03</v>
      </c>
      <c r="AK26" s="153">
        <f t="shared" si="44"/>
        <v>1.03</v>
      </c>
      <c r="AL26" s="153">
        <f t="shared" si="44"/>
        <v>1.03</v>
      </c>
      <c r="AM26" s="153">
        <f t="shared" si="44"/>
        <v>1.03</v>
      </c>
      <c r="AN26" s="153">
        <f t="shared" si="44"/>
        <v>1.03</v>
      </c>
      <c r="AO26" s="153">
        <f t="shared" si="44"/>
        <v>1.03</v>
      </c>
      <c r="AP26" s="153">
        <f t="shared" si="44"/>
        <v>1.03</v>
      </c>
      <c r="AQ26" s="153">
        <f t="shared" si="44"/>
        <v>1.03</v>
      </c>
      <c r="AR26" s="153">
        <f t="shared" si="44"/>
        <v>1.03</v>
      </c>
      <c r="AS26" s="153">
        <f t="shared" si="44"/>
        <v>1.03</v>
      </c>
      <c r="AT26" s="153">
        <f t="shared" si="44"/>
        <v>1.0609</v>
      </c>
      <c r="AU26" s="153">
        <f t="shared" si="44"/>
        <v>1.0609</v>
      </c>
      <c r="AV26" s="153">
        <f t="shared" si="44"/>
        <v>1.0609</v>
      </c>
      <c r="AW26" s="153">
        <f t="shared" si="44"/>
        <v>1.0609</v>
      </c>
      <c r="AX26" s="153">
        <f t="shared" si="44"/>
        <v>1.0609</v>
      </c>
      <c r="AY26" s="153">
        <f t="shared" si="44"/>
        <v>1.0609</v>
      </c>
      <c r="AZ26" s="153">
        <f t="shared" si="44"/>
        <v>1.0609</v>
      </c>
      <c r="BA26" s="153">
        <f t="shared" si="44"/>
        <v>1.0609</v>
      </c>
      <c r="BB26" s="153">
        <f t="shared" ref="BB26:CD26" si="45">IF(BB25="Vacant",0,IF(BB25="In-Term",$F$25*(1+$G$25)^(INT((BB$2-1)/12)),IF(AND(BB25="Downtime",ISTEXT($I$25)),$F$25,$J$25*(1+$M$25)^(INT((BB$2-1)/12)))))</f>
        <v>1.0609</v>
      </c>
      <c r="BC26" s="153">
        <f t="shared" si="45"/>
        <v>1.0609</v>
      </c>
      <c r="BD26" s="153">
        <f t="shared" si="45"/>
        <v>1.0609</v>
      </c>
      <c r="BE26" s="153">
        <f t="shared" si="45"/>
        <v>1.0609</v>
      </c>
      <c r="BF26" s="153">
        <f t="shared" si="45"/>
        <v>1.092727</v>
      </c>
      <c r="BG26" s="153">
        <f t="shared" si="45"/>
        <v>1.092727</v>
      </c>
      <c r="BH26" s="153">
        <f t="shared" si="45"/>
        <v>1.092727</v>
      </c>
      <c r="BI26" s="153">
        <f t="shared" si="45"/>
        <v>1.092727</v>
      </c>
      <c r="BJ26" s="153">
        <f t="shared" si="45"/>
        <v>1.092727</v>
      </c>
      <c r="BK26" s="153">
        <f t="shared" si="45"/>
        <v>1.092727</v>
      </c>
      <c r="BL26" s="153">
        <f t="shared" si="45"/>
        <v>1.092727</v>
      </c>
      <c r="BM26" s="153">
        <f t="shared" si="45"/>
        <v>1.092727</v>
      </c>
      <c r="BN26" s="153">
        <f t="shared" si="45"/>
        <v>1.092727</v>
      </c>
      <c r="BO26" s="153">
        <f t="shared" si="45"/>
        <v>1.092727</v>
      </c>
      <c r="BP26" s="153">
        <f t="shared" si="45"/>
        <v>1.092727</v>
      </c>
      <c r="BQ26" s="153">
        <f t="shared" si="45"/>
        <v>1.092727</v>
      </c>
      <c r="BR26" s="153">
        <f t="shared" si="45"/>
        <v>1.1255088099999999</v>
      </c>
      <c r="BS26" s="153">
        <f t="shared" si="45"/>
        <v>1.1255088099999999</v>
      </c>
      <c r="BT26" s="153">
        <f t="shared" si="45"/>
        <v>1.1255088099999999</v>
      </c>
      <c r="BU26" s="153">
        <f t="shared" si="45"/>
        <v>1.1255088099999999</v>
      </c>
      <c r="BV26" s="153">
        <f t="shared" si="45"/>
        <v>1.1255088099999999</v>
      </c>
      <c r="BW26" s="153">
        <f t="shared" si="45"/>
        <v>1.1255088099999999</v>
      </c>
      <c r="BX26" s="153">
        <f t="shared" si="45"/>
        <v>1.1255088099999999</v>
      </c>
      <c r="BY26" s="153">
        <f t="shared" si="45"/>
        <v>1.1255088099999999</v>
      </c>
      <c r="BZ26" s="153">
        <f t="shared" si="45"/>
        <v>1.1255088099999999</v>
      </c>
      <c r="CA26" s="153">
        <f t="shared" si="45"/>
        <v>1.1255088099999999</v>
      </c>
      <c r="CB26" s="153">
        <f t="shared" si="45"/>
        <v>1.1255088099999999</v>
      </c>
      <c r="CC26" s="153">
        <f t="shared" si="45"/>
        <v>1.1255088099999999</v>
      </c>
      <c r="CD26" s="153">
        <f t="shared" si="45"/>
        <v>1.1592740742999998</v>
      </c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</row>
    <row r="27" spans="1:141" x14ac:dyDescent="0.2">
      <c r="A27" s="157"/>
      <c r="B27" s="158" t="s">
        <v>204</v>
      </c>
      <c r="C27" s="157"/>
      <c r="D27" s="157"/>
      <c r="E27" s="157"/>
      <c r="F27" s="157"/>
      <c r="G27" s="157"/>
      <c r="H27" s="157"/>
      <c r="I27" s="157"/>
      <c r="J27" s="152"/>
      <c r="K27" s="157"/>
      <c r="L27" s="157"/>
      <c r="M27" s="182"/>
      <c r="N27" s="186"/>
      <c r="O27" s="157"/>
      <c r="P27" s="182"/>
      <c r="Q27" s="182"/>
      <c r="R27" s="182"/>
      <c r="S27" s="182"/>
      <c r="T27" s="157"/>
      <c r="U27" s="171"/>
      <c r="V27" s="176">
        <f t="shared" ref="V27:BA27" si="46">IF(V25="Vacant",0,IF(V25="Downtime",$N$25*V26*$C$25,V26*$C$25))</f>
        <v>493.99999999999994</v>
      </c>
      <c r="W27" s="155">
        <f t="shared" si="46"/>
        <v>493.99999999999994</v>
      </c>
      <c r="X27" s="155">
        <f t="shared" si="46"/>
        <v>493.99999999999994</v>
      </c>
      <c r="Y27" s="155">
        <f t="shared" si="46"/>
        <v>493.99999999999994</v>
      </c>
      <c r="Z27" s="155">
        <f t="shared" si="46"/>
        <v>493.99999999999994</v>
      </c>
      <c r="AA27" s="155">
        <f t="shared" si="46"/>
        <v>493.99999999999994</v>
      </c>
      <c r="AB27" s="155">
        <f t="shared" si="46"/>
        <v>810</v>
      </c>
      <c r="AC27" s="155">
        <f t="shared" si="46"/>
        <v>810</v>
      </c>
      <c r="AD27" s="155">
        <f t="shared" si="46"/>
        <v>810</v>
      </c>
      <c r="AE27" s="155">
        <f t="shared" si="46"/>
        <v>810</v>
      </c>
      <c r="AF27" s="155">
        <f t="shared" si="46"/>
        <v>810</v>
      </c>
      <c r="AG27" s="155">
        <f t="shared" si="46"/>
        <v>810</v>
      </c>
      <c r="AH27" s="155">
        <f t="shared" si="46"/>
        <v>834.30000000000007</v>
      </c>
      <c r="AI27" s="155">
        <f t="shared" si="46"/>
        <v>834.30000000000007</v>
      </c>
      <c r="AJ27" s="155">
        <f t="shared" si="46"/>
        <v>834.30000000000007</v>
      </c>
      <c r="AK27" s="155">
        <f t="shared" si="46"/>
        <v>834.30000000000007</v>
      </c>
      <c r="AL27" s="155">
        <f t="shared" si="46"/>
        <v>834.30000000000007</v>
      </c>
      <c r="AM27" s="155">
        <f t="shared" si="46"/>
        <v>834.30000000000007</v>
      </c>
      <c r="AN27" s="155">
        <f t="shared" si="46"/>
        <v>834.30000000000007</v>
      </c>
      <c r="AO27" s="155">
        <f t="shared" si="46"/>
        <v>834.30000000000007</v>
      </c>
      <c r="AP27" s="155">
        <f t="shared" si="46"/>
        <v>834.30000000000007</v>
      </c>
      <c r="AQ27" s="155">
        <f t="shared" si="46"/>
        <v>834.30000000000007</v>
      </c>
      <c r="AR27" s="155">
        <f t="shared" si="46"/>
        <v>834.30000000000007</v>
      </c>
      <c r="AS27" s="155">
        <f t="shared" si="46"/>
        <v>834.30000000000007</v>
      </c>
      <c r="AT27" s="155">
        <f t="shared" si="46"/>
        <v>859.32899999999995</v>
      </c>
      <c r="AU27" s="155">
        <f t="shared" si="46"/>
        <v>859.32899999999995</v>
      </c>
      <c r="AV27" s="155">
        <f t="shared" si="46"/>
        <v>859.32899999999995</v>
      </c>
      <c r="AW27" s="155">
        <f t="shared" si="46"/>
        <v>859.32899999999995</v>
      </c>
      <c r="AX27" s="155">
        <f t="shared" si="46"/>
        <v>859.32899999999995</v>
      </c>
      <c r="AY27" s="155">
        <f t="shared" si="46"/>
        <v>859.32899999999995</v>
      </c>
      <c r="AZ27" s="155">
        <f t="shared" si="46"/>
        <v>859.32899999999995</v>
      </c>
      <c r="BA27" s="155">
        <f t="shared" si="46"/>
        <v>859.32899999999995</v>
      </c>
      <c r="BB27" s="155">
        <f t="shared" ref="BB27:CD27" si="47">IF(BB25="Vacant",0,IF(BB25="Downtime",$N$25*BB26*$C$25,BB26*$C$25))</f>
        <v>859.32899999999995</v>
      </c>
      <c r="BC27" s="155">
        <f t="shared" si="47"/>
        <v>859.32899999999995</v>
      </c>
      <c r="BD27" s="155">
        <f t="shared" si="47"/>
        <v>859.32899999999995</v>
      </c>
      <c r="BE27" s="155">
        <f t="shared" si="47"/>
        <v>859.32899999999995</v>
      </c>
      <c r="BF27" s="155">
        <f t="shared" si="47"/>
        <v>885.10887000000002</v>
      </c>
      <c r="BG27" s="155">
        <f t="shared" si="47"/>
        <v>885.10887000000002</v>
      </c>
      <c r="BH27" s="155">
        <f t="shared" si="47"/>
        <v>885.10887000000002</v>
      </c>
      <c r="BI27" s="155">
        <f t="shared" si="47"/>
        <v>885.10887000000002</v>
      </c>
      <c r="BJ27" s="155">
        <f t="shared" si="47"/>
        <v>885.10887000000002</v>
      </c>
      <c r="BK27" s="155">
        <f t="shared" si="47"/>
        <v>885.10887000000002</v>
      </c>
      <c r="BL27" s="155">
        <f t="shared" si="47"/>
        <v>885.10887000000002</v>
      </c>
      <c r="BM27" s="155">
        <f t="shared" si="47"/>
        <v>885.10887000000002</v>
      </c>
      <c r="BN27" s="155">
        <f t="shared" si="47"/>
        <v>885.10887000000002</v>
      </c>
      <c r="BO27" s="155">
        <f t="shared" si="47"/>
        <v>885.10887000000002</v>
      </c>
      <c r="BP27" s="155">
        <f t="shared" si="47"/>
        <v>885.10887000000002</v>
      </c>
      <c r="BQ27" s="155">
        <f t="shared" si="47"/>
        <v>885.10887000000002</v>
      </c>
      <c r="BR27" s="155">
        <f t="shared" si="47"/>
        <v>911.66213609999988</v>
      </c>
      <c r="BS27" s="155">
        <f t="shared" si="47"/>
        <v>911.66213609999988</v>
      </c>
      <c r="BT27" s="155">
        <f t="shared" si="47"/>
        <v>911.66213609999988</v>
      </c>
      <c r="BU27" s="155">
        <f t="shared" si="47"/>
        <v>911.66213609999988</v>
      </c>
      <c r="BV27" s="155">
        <f t="shared" si="47"/>
        <v>911.66213609999988</v>
      </c>
      <c r="BW27" s="155">
        <f t="shared" si="47"/>
        <v>911.66213609999988</v>
      </c>
      <c r="BX27" s="155">
        <f t="shared" si="47"/>
        <v>911.66213609999988</v>
      </c>
      <c r="BY27" s="155">
        <f t="shared" si="47"/>
        <v>911.66213609999988</v>
      </c>
      <c r="BZ27" s="155">
        <f t="shared" si="47"/>
        <v>911.66213609999988</v>
      </c>
      <c r="CA27" s="155">
        <f t="shared" si="47"/>
        <v>911.66213609999988</v>
      </c>
      <c r="CB27" s="155">
        <f t="shared" si="47"/>
        <v>911.66213609999988</v>
      </c>
      <c r="CC27" s="155">
        <f t="shared" si="47"/>
        <v>911.66213609999988</v>
      </c>
      <c r="CD27" s="155">
        <f t="shared" si="47"/>
        <v>939.01200018299983</v>
      </c>
      <c r="CE27" s="156"/>
      <c r="CF27" s="156"/>
      <c r="CG27" s="156"/>
      <c r="CH27" s="156"/>
      <c r="CI27" s="156"/>
      <c r="CJ27" s="156"/>
      <c r="CK27" s="156"/>
      <c r="CL27" s="156"/>
      <c r="CM27" s="156"/>
      <c r="CN27" s="156"/>
      <c r="CO27" s="156"/>
      <c r="CP27" s="156"/>
      <c r="CQ27" s="156"/>
      <c r="CR27" s="156"/>
      <c r="CS27" s="156"/>
      <c r="CT27" s="156"/>
      <c r="CU27" s="156"/>
      <c r="CV27" s="156"/>
      <c r="CW27" s="156"/>
      <c r="CX27" s="156"/>
      <c r="CY27" s="156"/>
      <c r="CZ27" s="156"/>
      <c r="DA27" s="156"/>
      <c r="DB27" s="156"/>
      <c r="DC27" s="156"/>
      <c r="DD27" s="156"/>
      <c r="DE27" s="156"/>
      <c r="DF27" s="156"/>
      <c r="DG27" s="156"/>
      <c r="DH27" s="156"/>
      <c r="DI27" s="156"/>
      <c r="DJ27" s="156"/>
      <c r="DK27" s="156"/>
      <c r="DL27" s="156"/>
      <c r="DM27" s="156"/>
      <c r="DN27" s="156"/>
      <c r="DO27" s="156"/>
      <c r="DP27" s="156"/>
      <c r="DQ27" s="156"/>
      <c r="DR27" s="156"/>
      <c r="DS27" s="156"/>
      <c r="DT27" s="156"/>
      <c r="DU27" s="156"/>
      <c r="DV27" s="156"/>
      <c r="DW27" s="156"/>
      <c r="DX27" s="156"/>
      <c r="DY27" s="156"/>
      <c r="DZ27" s="156"/>
      <c r="EA27" s="156"/>
      <c r="EB27" s="156"/>
      <c r="EC27" s="156"/>
      <c r="ED27" s="156"/>
      <c r="EE27" s="156"/>
      <c r="EF27" s="156"/>
      <c r="EG27" s="156"/>
      <c r="EH27" s="156"/>
      <c r="EI27" s="156"/>
      <c r="EJ27" s="156"/>
      <c r="EK27" s="156"/>
    </row>
    <row r="28" spans="1:141" x14ac:dyDescent="0.2">
      <c r="A28" s="125" t="str">
        <f>'OM Rent Roll'!A13</f>
        <v>4949 J</v>
      </c>
      <c r="B28" s="125" t="str">
        <f>'OM Rent Roll'!B13</f>
        <v>VACANT</v>
      </c>
      <c r="C28" s="126">
        <f>'OM Rent Roll'!C13</f>
        <v>1350</v>
      </c>
      <c r="D28" s="63">
        <f>C28/NRA</f>
        <v>7.5503355704697989E-2</v>
      </c>
      <c r="E28" s="125" t="str">
        <f>'OM Rent Roll'!D13</f>
        <v>NNN</v>
      </c>
      <c r="F28" s="127">
        <f>'OM Rent Roll'!G13</f>
        <v>0</v>
      </c>
      <c r="G28" s="129">
        <f>'OM Rent Roll'!H13</f>
        <v>0</v>
      </c>
      <c r="H28" s="125" t="str">
        <f>IF('OM Rent Roll'!E13=0,"",'OM Rent Roll'!E13)</f>
        <v/>
      </c>
      <c r="I28" s="125" t="str">
        <f>IF('OM Rent Roll'!F13=0,"",'OM Rent Roll'!F13)</f>
        <v/>
      </c>
      <c r="J28" s="128">
        <v>1</v>
      </c>
      <c r="K28" s="60">
        <v>60</v>
      </c>
      <c r="L28" s="60">
        <v>36</v>
      </c>
      <c r="M28" s="179">
        <f>Rent_Growth</f>
        <v>0.03</v>
      </c>
      <c r="N28" s="183">
        <v>0</v>
      </c>
      <c r="O28" s="60">
        <v>6</v>
      </c>
      <c r="P28" s="188">
        <v>25</v>
      </c>
      <c r="Q28" s="188">
        <v>25</v>
      </c>
      <c r="R28" s="179">
        <v>0.06</v>
      </c>
      <c r="S28" s="179">
        <v>0.03</v>
      </c>
      <c r="T28" s="60" t="s">
        <v>202</v>
      </c>
      <c r="U28" s="168">
        <v>6</v>
      </c>
      <c r="V28" s="174" t="str">
        <f t="shared" ref="V28:BA28" si="48">IF(OR($I$28="",$I$28=0),IF(V$2&lt;$U$28,"Vacant","Relet"),IF(ISTEXT($I$28),IF($U$28&gt;0,IF(V$2&lt;$U$28,"Downtime","Relet"),IF(V$2&lt;=$O$28,"Downtime","Relet")),IF($I$28&lt;=Close_Date,IF(V$2&lt;=$O$28,"Downtime","Relet"),IF(V$2&lt;=DATEDIF(Close_Date,$I$28,"M"),"In-Term",IF(V$2&lt;=DATEDIF(Close_Date,$I$28,"M")+$O$28,"Downtime","Relet")))))</f>
        <v>Vacant</v>
      </c>
      <c r="W28" s="149" t="str">
        <f t="shared" si="48"/>
        <v>Vacant</v>
      </c>
      <c r="X28" s="149" t="str">
        <f t="shared" si="48"/>
        <v>Vacant</v>
      </c>
      <c r="Y28" s="149" t="str">
        <f t="shared" si="48"/>
        <v>Vacant</v>
      </c>
      <c r="Z28" s="149" t="str">
        <f t="shared" si="48"/>
        <v>Vacant</v>
      </c>
      <c r="AA28" s="149" t="str">
        <f t="shared" si="48"/>
        <v>Relet</v>
      </c>
      <c r="AB28" s="149" t="str">
        <f t="shared" si="48"/>
        <v>Relet</v>
      </c>
      <c r="AC28" s="149" t="str">
        <f t="shared" si="48"/>
        <v>Relet</v>
      </c>
      <c r="AD28" s="149" t="str">
        <f t="shared" si="48"/>
        <v>Relet</v>
      </c>
      <c r="AE28" s="149" t="str">
        <f t="shared" si="48"/>
        <v>Relet</v>
      </c>
      <c r="AF28" s="149" t="str">
        <f t="shared" si="48"/>
        <v>Relet</v>
      </c>
      <c r="AG28" s="149" t="str">
        <f t="shared" si="48"/>
        <v>Relet</v>
      </c>
      <c r="AH28" s="149" t="str">
        <f t="shared" si="48"/>
        <v>Relet</v>
      </c>
      <c r="AI28" s="149" t="str">
        <f t="shared" si="48"/>
        <v>Relet</v>
      </c>
      <c r="AJ28" s="149" t="str">
        <f t="shared" si="48"/>
        <v>Relet</v>
      </c>
      <c r="AK28" s="149" t="str">
        <f t="shared" si="48"/>
        <v>Relet</v>
      </c>
      <c r="AL28" s="149" t="str">
        <f t="shared" si="48"/>
        <v>Relet</v>
      </c>
      <c r="AM28" s="149" t="str">
        <f t="shared" si="48"/>
        <v>Relet</v>
      </c>
      <c r="AN28" s="149" t="str">
        <f t="shared" si="48"/>
        <v>Relet</v>
      </c>
      <c r="AO28" s="149" t="str">
        <f t="shared" si="48"/>
        <v>Relet</v>
      </c>
      <c r="AP28" s="149" t="str">
        <f t="shared" si="48"/>
        <v>Relet</v>
      </c>
      <c r="AQ28" s="149" t="str">
        <f t="shared" si="48"/>
        <v>Relet</v>
      </c>
      <c r="AR28" s="149" t="str">
        <f t="shared" si="48"/>
        <v>Relet</v>
      </c>
      <c r="AS28" s="149" t="str">
        <f t="shared" si="48"/>
        <v>Relet</v>
      </c>
      <c r="AT28" s="149" t="str">
        <f t="shared" si="48"/>
        <v>Relet</v>
      </c>
      <c r="AU28" s="149" t="str">
        <f t="shared" si="48"/>
        <v>Relet</v>
      </c>
      <c r="AV28" s="149" t="str">
        <f t="shared" si="48"/>
        <v>Relet</v>
      </c>
      <c r="AW28" s="149" t="str">
        <f t="shared" si="48"/>
        <v>Relet</v>
      </c>
      <c r="AX28" s="149" t="str">
        <f t="shared" si="48"/>
        <v>Relet</v>
      </c>
      <c r="AY28" s="149" t="str">
        <f t="shared" si="48"/>
        <v>Relet</v>
      </c>
      <c r="AZ28" s="149" t="str">
        <f t="shared" si="48"/>
        <v>Relet</v>
      </c>
      <c r="BA28" s="149" t="str">
        <f t="shared" si="48"/>
        <v>Relet</v>
      </c>
      <c r="BB28" s="149" t="str">
        <f t="shared" ref="BB28:CD28" si="49">IF(OR($I$28="",$I$28=0),IF(BB$2&lt;$U$28,"Vacant","Relet"),IF(ISTEXT($I$28),IF($U$28&gt;0,IF(BB$2&lt;$U$28,"Downtime","Relet"),IF(BB$2&lt;=$O$28,"Downtime","Relet")),IF($I$28&lt;=Close_Date,IF(BB$2&lt;=$O$28,"Downtime","Relet"),IF(BB$2&lt;=DATEDIF(Close_Date,$I$28,"M"),"In-Term",IF(BB$2&lt;=DATEDIF(Close_Date,$I$28,"M")+$O$28,"Downtime","Relet")))))</f>
        <v>Relet</v>
      </c>
      <c r="BC28" s="149" t="str">
        <f t="shared" si="49"/>
        <v>Relet</v>
      </c>
      <c r="BD28" s="149" t="str">
        <f t="shared" si="49"/>
        <v>Relet</v>
      </c>
      <c r="BE28" s="149" t="str">
        <f t="shared" si="49"/>
        <v>Relet</v>
      </c>
      <c r="BF28" s="149" t="str">
        <f t="shared" si="49"/>
        <v>Relet</v>
      </c>
      <c r="BG28" s="149" t="str">
        <f t="shared" si="49"/>
        <v>Relet</v>
      </c>
      <c r="BH28" s="149" t="str">
        <f t="shared" si="49"/>
        <v>Relet</v>
      </c>
      <c r="BI28" s="149" t="str">
        <f t="shared" si="49"/>
        <v>Relet</v>
      </c>
      <c r="BJ28" s="149" t="str">
        <f t="shared" si="49"/>
        <v>Relet</v>
      </c>
      <c r="BK28" s="149" t="str">
        <f t="shared" si="49"/>
        <v>Relet</v>
      </c>
      <c r="BL28" s="149" t="str">
        <f t="shared" si="49"/>
        <v>Relet</v>
      </c>
      <c r="BM28" s="149" t="str">
        <f t="shared" si="49"/>
        <v>Relet</v>
      </c>
      <c r="BN28" s="149" t="str">
        <f t="shared" si="49"/>
        <v>Relet</v>
      </c>
      <c r="BO28" s="149" t="str">
        <f t="shared" si="49"/>
        <v>Relet</v>
      </c>
      <c r="BP28" s="149" t="str">
        <f t="shared" si="49"/>
        <v>Relet</v>
      </c>
      <c r="BQ28" s="149" t="str">
        <f t="shared" si="49"/>
        <v>Relet</v>
      </c>
      <c r="BR28" s="149" t="str">
        <f t="shared" si="49"/>
        <v>Relet</v>
      </c>
      <c r="BS28" s="149" t="str">
        <f t="shared" si="49"/>
        <v>Relet</v>
      </c>
      <c r="BT28" s="149" t="str">
        <f t="shared" si="49"/>
        <v>Relet</v>
      </c>
      <c r="BU28" s="149" t="str">
        <f t="shared" si="49"/>
        <v>Relet</v>
      </c>
      <c r="BV28" s="149" t="str">
        <f t="shared" si="49"/>
        <v>Relet</v>
      </c>
      <c r="BW28" s="149" t="str">
        <f t="shared" si="49"/>
        <v>Relet</v>
      </c>
      <c r="BX28" s="149" t="str">
        <f t="shared" si="49"/>
        <v>Relet</v>
      </c>
      <c r="BY28" s="149" t="str">
        <f t="shared" si="49"/>
        <v>Relet</v>
      </c>
      <c r="BZ28" s="149" t="str">
        <f t="shared" si="49"/>
        <v>Relet</v>
      </c>
      <c r="CA28" s="149" t="str">
        <f t="shared" si="49"/>
        <v>Relet</v>
      </c>
      <c r="CB28" s="149" t="str">
        <f t="shared" si="49"/>
        <v>Relet</v>
      </c>
      <c r="CC28" s="149" t="str">
        <f t="shared" si="49"/>
        <v>Relet</v>
      </c>
      <c r="CD28" s="149" t="str">
        <f t="shared" si="49"/>
        <v>Relet</v>
      </c>
    </row>
    <row r="29" spans="1:141" x14ac:dyDescent="0.2">
      <c r="A29" s="150"/>
      <c r="B29" s="151" t="s">
        <v>203</v>
      </c>
      <c r="C29" s="150"/>
      <c r="D29" s="150"/>
      <c r="E29" s="150"/>
      <c r="F29" s="150"/>
      <c r="G29" s="150"/>
      <c r="H29" s="150"/>
      <c r="I29" s="150"/>
      <c r="J29" s="152"/>
      <c r="K29" s="150"/>
      <c r="L29" s="150"/>
      <c r="M29" s="180"/>
      <c r="N29" s="184"/>
      <c r="O29" s="150"/>
      <c r="P29" s="180"/>
      <c r="Q29" s="180"/>
      <c r="R29" s="180"/>
      <c r="S29" s="180"/>
      <c r="T29" s="150"/>
      <c r="U29" s="169"/>
      <c r="V29" s="175">
        <f t="shared" ref="V29:BA29" si="50">IF(V28="Vacant",0,IF(V28="In-Term",$F$28*(1+$G$28)^(INT((V$2-1)/12)),IF(AND(V28="Downtime",ISTEXT($I$28)),$F$28,$J$28*(1+$M$28)^(INT((V$2-1)/12)))))</f>
        <v>0</v>
      </c>
      <c r="W29" s="153">
        <f t="shared" si="50"/>
        <v>0</v>
      </c>
      <c r="X29" s="153">
        <f t="shared" si="50"/>
        <v>0</v>
      </c>
      <c r="Y29" s="153">
        <f t="shared" si="50"/>
        <v>0</v>
      </c>
      <c r="Z29" s="153">
        <f t="shared" si="50"/>
        <v>0</v>
      </c>
      <c r="AA29" s="153">
        <f t="shared" si="50"/>
        <v>1</v>
      </c>
      <c r="AB29" s="153">
        <f t="shared" si="50"/>
        <v>1</v>
      </c>
      <c r="AC29" s="153">
        <f t="shared" si="50"/>
        <v>1</v>
      </c>
      <c r="AD29" s="153">
        <f t="shared" si="50"/>
        <v>1</v>
      </c>
      <c r="AE29" s="153">
        <f t="shared" si="50"/>
        <v>1</v>
      </c>
      <c r="AF29" s="153">
        <f t="shared" si="50"/>
        <v>1</v>
      </c>
      <c r="AG29" s="153">
        <f t="shared" si="50"/>
        <v>1</v>
      </c>
      <c r="AH29" s="153">
        <f t="shared" si="50"/>
        <v>1.03</v>
      </c>
      <c r="AI29" s="153">
        <f t="shared" si="50"/>
        <v>1.03</v>
      </c>
      <c r="AJ29" s="153">
        <f t="shared" si="50"/>
        <v>1.03</v>
      </c>
      <c r="AK29" s="153">
        <f t="shared" si="50"/>
        <v>1.03</v>
      </c>
      <c r="AL29" s="153">
        <f t="shared" si="50"/>
        <v>1.03</v>
      </c>
      <c r="AM29" s="153">
        <f t="shared" si="50"/>
        <v>1.03</v>
      </c>
      <c r="AN29" s="153">
        <f t="shared" si="50"/>
        <v>1.03</v>
      </c>
      <c r="AO29" s="153">
        <f t="shared" si="50"/>
        <v>1.03</v>
      </c>
      <c r="AP29" s="153">
        <f t="shared" si="50"/>
        <v>1.03</v>
      </c>
      <c r="AQ29" s="153">
        <f t="shared" si="50"/>
        <v>1.03</v>
      </c>
      <c r="AR29" s="153">
        <f t="shared" si="50"/>
        <v>1.03</v>
      </c>
      <c r="AS29" s="153">
        <f t="shared" si="50"/>
        <v>1.03</v>
      </c>
      <c r="AT29" s="153">
        <f t="shared" si="50"/>
        <v>1.0609</v>
      </c>
      <c r="AU29" s="153">
        <f t="shared" si="50"/>
        <v>1.0609</v>
      </c>
      <c r="AV29" s="153">
        <f t="shared" si="50"/>
        <v>1.0609</v>
      </c>
      <c r="AW29" s="153">
        <f t="shared" si="50"/>
        <v>1.0609</v>
      </c>
      <c r="AX29" s="153">
        <f t="shared" si="50"/>
        <v>1.0609</v>
      </c>
      <c r="AY29" s="153">
        <f t="shared" si="50"/>
        <v>1.0609</v>
      </c>
      <c r="AZ29" s="153">
        <f t="shared" si="50"/>
        <v>1.0609</v>
      </c>
      <c r="BA29" s="153">
        <f t="shared" si="50"/>
        <v>1.0609</v>
      </c>
      <c r="BB29" s="153">
        <f t="shared" ref="BB29:CD29" si="51">IF(BB28="Vacant",0,IF(BB28="In-Term",$F$28*(1+$G$28)^(INT((BB$2-1)/12)),IF(AND(BB28="Downtime",ISTEXT($I$28)),$F$28,$J$28*(1+$M$28)^(INT((BB$2-1)/12)))))</f>
        <v>1.0609</v>
      </c>
      <c r="BC29" s="153">
        <f t="shared" si="51"/>
        <v>1.0609</v>
      </c>
      <c r="BD29" s="153">
        <f t="shared" si="51"/>
        <v>1.0609</v>
      </c>
      <c r="BE29" s="153">
        <f t="shared" si="51"/>
        <v>1.0609</v>
      </c>
      <c r="BF29" s="153">
        <f t="shared" si="51"/>
        <v>1.092727</v>
      </c>
      <c r="BG29" s="153">
        <f t="shared" si="51"/>
        <v>1.092727</v>
      </c>
      <c r="BH29" s="153">
        <f t="shared" si="51"/>
        <v>1.092727</v>
      </c>
      <c r="BI29" s="153">
        <f t="shared" si="51"/>
        <v>1.092727</v>
      </c>
      <c r="BJ29" s="153">
        <f t="shared" si="51"/>
        <v>1.092727</v>
      </c>
      <c r="BK29" s="153">
        <f t="shared" si="51"/>
        <v>1.092727</v>
      </c>
      <c r="BL29" s="153">
        <f t="shared" si="51"/>
        <v>1.092727</v>
      </c>
      <c r="BM29" s="153">
        <f t="shared" si="51"/>
        <v>1.092727</v>
      </c>
      <c r="BN29" s="153">
        <f t="shared" si="51"/>
        <v>1.092727</v>
      </c>
      <c r="BO29" s="153">
        <f t="shared" si="51"/>
        <v>1.092727</v>
      </c>
      <c r="BP29" s="153">
        <f t="shared" si="51"/>
        <v>1.092727</v>
      </c>
      <c r="BQ29" s="153">
        <f t="shared" si="51"/>
        <v>1.092727</v>
      </c>
      <c r="BR29" s="153">
        <f t="shared" si="51"/>
        <v>1.1255088099999999</v>
      </c>
      <c r="BS29" s="153">
        <f t="shared" si="51"/>
        <v>1.1255088099999999</v>
      </c>
      <c r="BT29" s="153">
        <f t="shared" si="51"/>
        <v>1.1255088099999999</v>
      </c>
      <c r="BU29" s="153">
        <f t="shared" si="51"/>
        <v>1.1255088099999999</v>
      </c>
      <c r="BV29" s="153">
        <f t="shared" si="51"/>
        <v>1.1255088099999999</v>
      </c>
      <c r="BW29" s="153">
        <f t="shared" si="51"/>
        <v>1.1255088099999999</v>
      </c>
      <c r="BX29" s="153">
        <f t="shared" si="51"/>
        <v>1.1255088099999999</v>
      </c>
      <c r="BY29" s="153">
        <f t="shared" si="51"/>
        <v>1.1255088099999999</v>
      </c>
      <c r="BZ29" s="153">
        <f t="shared" si="51"/>
        <v>1.1255088099999999</v>
      </c>
      <c r="CA29" s="153">
        <f t="shared" si="51"/>
        <v>1.1255088099999999</v>
      </c>
      <c r="CB29" s="153">
        <f t="shared" si="51"/>
        <v>1.1255088099999999</v>
      </c>
      <c r="CC29" s="153">
        <f t="shared" si="51"/>
        <v>1.1255088099999999</v>
      </c>
      <c r="CD29" s="153">
        <f t="shared" si="51"/>
        <v>1.1592740742999998</v>
      </c>
      <c r="CE29" s="154"/>
      <c r="CF29" s="154"/>
      <c r="CG29" s="154"/>
      <c r="CH29" s="154"/>
      <c r="CI29" s="154"/>
      <c r="CJ29" s="154"/>
      <c r="CK29" s="154"/>
      <c r="CL29" s="154"/>
      <c r="CM29" s="154"/>
      <c r="CN29" s="154"/>
      <c r="CO29" s="154"/>
      <c r="CP29" s="154"/>
      <c r="CQ29" s="154"/>
      <c r="CR29" s="154"/>
      <c r="CS29" s="154"/>
      <c r="CT29" s="154"/>
      <c r="CU29" s="154"/>
      <c r="CV29" s="154"/>
      <c r="CW29" s="154"/>
      <c r="CX29" s="154"/>
      <c r="CY29" s="154"/>
      <c r="CZ29" s="154"/>
      <c r="DA29" s="154"/>
      <c r="DB29" s="154"/>
      <c r="DC29" s="154"/>
      <c r="DD29" s="154"/>
      <c r="DE29" s="154"/>
      <c r="DF29" s="154"/>
      <c r="DG29" s="154"/>
      <c r="DH29" s="154"/>
      <c r="DI29" s="154"/>
      <c r="DJ29" s="154"/>
      <c r="DK29" s="154"/>
      <c r="DL29" s="154"/>
      <c r="DM29" s="154"/>
      <c r="DN29" s="154"/>
      <c r="DO29" s="154"/>
      <c r="DP29" s="154"/>
      <c r="DQ29" s="154"/>
      <c r="DR29" s="154"/>
      <c r="DS29" s="154"/>
      <c r="DT29" s="154"/>
      <c r="DU29" s="154"/>
      <c r="DV29" s="154"/>
      <c r="DW29" s="154"/>
      <c r="DX29" s="154"/>
      <c r="DY29" s="154"/>
      <c r="DZ29" s="154"/>
      <c r="EA29" s="154"/>
      <c r="EB29" s="154"/>
      <c r="EC29" s="154"/>
      <c r="ED29" s="154"/>
      <c r="EE29" s="154"/>
      <c r="EF29" s="154"/>
      <c r="EG29" s="154"/>
      <c r="EH29" s="154"/>
      <c r="EI29" s="154"/>
      <c r="EJ29" s="154"/>
      <c r="EK29" s="154"/>
    </row>
    <row r="30" spans="1:141" x14ac:dyDescent="0.2">
      <c r="A30" s="150"/>
      <c r="B30" s="151" t="s">
        <v>204</v>
      </c>
      <c r="C30" s="150"/>
      <c r="D30" s="150"/>
      <c r="E30" s="150"/>
      <c r="F30" s="150"/>
      <c r="G30" s="150"/>
      <c r="H30" s="150"/>
      <c r="I30" s="150"/>
      <c r="J30" s="152"/>
      <c r="K30" s="150"/>
      <c r="L30" s="150"/>
      <c r="M30" s="180"/>
      <c r="N30" s="184"/>
      <c r="O30" s="150"/>
      <c r="P30" s="180"/>
      <c r="Q30" s="180"/>
      <c r="R30" s="180"/>
      <c r="S30" s="180"/>
      <c r="T30" s="150"/>
      <c r="U30" s="169"/>
      <c r="V30" s="176">
        <f t="shared" ref="V30:BA30" si="52">IF(V28="Vacant",0,IF(V28="Downtime",$N$28*V29*$C$28,V29*$C$28))</f>
        <v>0</v>
      </c>
      <c r="W30" s="155">
        <f t="shared" si="52"/>
        <v>0</v>
      </c>
      <c r="X30" s="155">
        <f t="shared" si="52"/>
        <v>0</v>
      </c>
      <c r="Y30" s="155">
        <f t="shared" si="52"/>
        <v>0</v>
      </c>
      <c r="Z30" s="155">
        <f t="shared" si="52"/>
        <v>0</v>
      </c>
      <c r="AA30" s="155">
        <f t="shared" si="52"/>
        <v>1350</v>
      </c>
      <c r="AB30" s="155">
        <f t="shared" si="52"/>
        <v>1350</v>
      </c>
      <c r="AC30" s="155">
        <f t="shared" si="52"/>
        <v>1350</v>
      </c>
      <c r="AD30" s="155">
        <f t="shared" si="52"/>
        <v>1350</v>
      </c>
      <c r="AE30" s="155">
        <f t="shared" si="52"/>
        <v>1350</v>
      </c>
      <c r="AF30" s="155">
        <f t="shared" si="52"/>
        <v>1350</v>
      </c>
      <c r="AG30" s="155">
        <f t="shared" si="52"/>
        <v>1350</v>
      </c>
      <c r="AH30" s="155">
        <f t="shared" si="52"/>
        <v>1390.5</v>
      </c>
      <c r="AI30" s="155">
        <f t="shared" si="52"/>
        <v>1390.5</v>
      </c>
      <c r="AJ30" s="155">
        <f t="shared" si="52"/>
        <v>1390.5</v>
      </c>
      <c r="AK30" s="155">
        <f t="shared" si="52"/>
        <v>1390.5</v>
      </c>
      <c r="AL30" s="155">
        <f t="shared" si="52"/>
        <v>1390.5</v>
      </c>
      <c r="AM30" s="155">
        <f t="shared" si="52"/>
        <v>1390.5</v>
      </c>
      <c r="AN30" s="155">
        <f t="shared" si="52"/>
        <v>1390.5</v>
      </c>
      <c r="AO30" s="155">
        <f t="shared" si="52"/>
        <v>1390.5</v>
      </c>
      <c r="AP30" s="155">
        <f t="shared" si="52"/>
        <v>1390.5</v>
      </c>
      <c r="AQ30" s="155">
        <f t="shared" si="52"/>
        <v>1390.5</v>
      </c>
      <c r="AR30" s="155">
        <f t="shared" si="52"/>
        <v>1390.5</v>
      </c>
      <c r="AS30" s="155">
        <f t="shared" si="52"/>
        <v>1390.5</v>
      </c>
      <c r="AT30" s="155">
        <f t="shared" si="52"/>
        <v>1432.2149999999999</v>
      </c>
      <c r="AU30" s="155">
        <f t="shared" si="52"/>
        <v>1432.2149999999999</v>
      </c>
      <c r="AV30" s="155">
        <f t="shared" si="52"/>
        <v>1432.2149999999999</v>
      </c>
      <c r="AW30" s="155">
        <f t="shared" si="52"/>
        <v>1432.2149999999999</v>
      </c>
      <c r="AX30" s="155">
        <f t="shared" si="52"/>
        <v>1432.2149999999999</v>
      </c>
      <c r="AY30" s="155">
        <f t="shared" si="52"/>
        <v>1432.2149999999999</v>
      </c>
      <c r="AZ30" s="155">
        <f t="shared" si="52"/>
        <v>1432.2149999999999</v>
      </c>
      <c r="BA30" s="155">
        <f t="shared" si="52"/>
        <v>1432.2149999999999</v>
      </c>
      <c r="BB30" s="155">
        <f t="shared" ref="BB30:CD30" si="53">IF(BB28="Vacant",0,IF(BB28="Downtime",$N$28*BB29*$C$28,BB29*$C$28))</f>
        <v>1432.2149999999999</v>
      </c>
      <c r="BC30" s="155">
        <f t="shared" si="53"/>
        <v>1432.2149999999999</v>
      </c>
      <c r="BD30" s="155">
        <f t="shared" si="53"/>
        <v>1432.2149999999999</v>
      </c>
      <c r="BE30" s="155">
        <f t="shared" si="53"/>
        <v>1432.2149999999999</v>
      </c>
      <c r="BF30" s="155">
        <f t="shared" si="53"/>
        <v>1475.18145</v>
      </c>
      <c r="BG30" s="155">
        <f t="shared" si="53"/>
        <v>1475.18145</v>
      </c>
      <c r="BH30" s="155">
        <f t="shared" si="53"/>
        <v>1475.18145</v>
      </c>
      <c r="BI30" s="155">
        <f t="shared" si="53"/>
        <v>1475.18145</v>
      </c>
      <c r="BJ30" s="155">
        <f t="shared" si="53"/>
        <v>1475.18145</v>
      </c>
      <c r="BK30" s="155">
        <f t="shared" si="53"/>
        <v>1475.18145</v>
      </c>
      <c r="BL30" s="155">
        <f t="shared" si="53"/>
        <v>1475.18145</v>
      </c>
      <c r="BM30" s="155">
        <f t="shared" si="53"/>
        <v>1475.18145</v>
      </c>
      <c r="BN30" s="155">
        <f t="shared" si="53"/>
        <v>1475.18145</v>
      </c>
      <c r="BO30" s="155">
        <f t="shared" si="53"/>
        <v>1475.18145</v>
      </c>
      <c r="BP30" s="155">
        <f t="shared" si="53"/>
        <v>1475.18145</v>
      </c>
      <c r="BQ30" s="155">
        <f t="shared" si="53"/>
        <v>1475.18145</v>
      </c>
      <c r="BR30" s="155">
        <f t="shared" si="53"/>
        <v>1519.4368935</v>
      </c>
      <c r="BS30" s="155">
        <f t="shared" si="53"/>
        <v>1519.4368935</v>
      </c>
      <c r="BT30" s="155">
        <f t="shared" si="53"/>
        <v>1519.4368935</v>
      </c>
      <c r="BU30" s="155">
        <f t="shared" si="53"/>
        <v>1519.4368935</v>
      </c>
      <c r="BV30" s="155">
        <f t="shared" si="53"/>
        <v>1519.4368935</v>
      </c>
      <c r="BW30" s="155">
        <f t="shared" si="53"/>
        <v>1519.4368935</v>
      </c>
      <c r="BX30" s="155">
        <f t="shared" si="53"/>
        <v>1519.4368935</v>
      </c>
      <c r="BY30" s="155">
        <f t="shared" si="53"/>
        <v>1519.4368935</v>
      </c>
      <c r="BZ30" s="155">
        <f t="shared" si="53"/>
        <v>1519.4368935</v>
      </c>
      <c r="CA30" s="155">
        <f t="shared" si="53"/>
        <v>1519.4368935</v>
      </c>
      <c r="CB30" s="155">
        <f t="shared" si="53"/>
        <v>1519.4368935</v>
      </c>
      <c r="CC30" s="155">
        <f t="shared" si="53"/>
        <v>1519.4368935</v>
      </c>
      <c r="CD30" s="155">
        <f t="shared" si="53"/>
        <v>1565.0200003049997</v>
      </c>
      <c r="CE30" s="156"/>
      <c r="CF30" s="156"/>
      <c r="CG30" s="156"/>
      <c r="CH30" s="156"/>
      <c r="CI30" s="156"/>
      <c r="CJ30" s="156"/>
      <c r="CK30" s="156"/>
      <c r="CL30" s="156"/>
      <c r="CM30" s="156"/>
      <c r="CN30" s="156"/>
      <c r="CO30" s="156"/>
      <c r="CP30" s="156"/>
      <c r="CQ30" s="156"/>
      <c r="CR30" s="156"/>
      <c r="CS30" s="156"/>
      <c r="CT30" s="156"/>
      <c r="CU30" s="156"/>
      <c r="CV30" s="156"/>
      <c r="CW30" s="156"/>
      <c r="CX30" s="156"/>
      <c r="CY30" s="156"/>
      <c r="CZ30" s="156"/>
      <c r="DA30" s="156"/>
      <c r="DB30" s="156"/>
      <c r="DC30" s="156"/>
      <c r="DD30" s="156"/>
      <c r="DE30" s="156"/>
      <c r="DF30" s="156"/>
      <c r="DG30" s="156"/>
      <c r="DH30" s="156"/>
      <c r="DI30" s="156"/>
      <c r="DJ30" s="156"/>
      <c r="DK30" s="156"/>
      <c r="DL30" s="156"/>
      <c r="DM30" s="156"/>
      <c r="DN30" s="156"/>
      <c r="DO30" s="156"/>
      <c r="DP30" s="156"/>
      <c r="DQ30" s="156"/>
      <c r="DR30" s="156"/>
      <c r="DS30" s="156"/>
      <c r="DT30" s="156"/>
      <c r="DU30" s="156"/>
      <c r="DV30" s="156"/>
      <c r="DW30" s="156"/>
      <c r="DX30" s="156"/>
      <c r="DY30" s="156"/>
      <c r="DZ30" s="156"/>
      <c r="EA30" s="156"/>
      <c r="EB30" s="156"/>
      <c r="EC30" s="156"/>
      <c r="ED30" s="156"/>
      <c r="EE30" s="156"/>
      <c r="EF30" s="156"/>
      <c r="EG30" s="156"/>
      <c r="EH30" s="156"/>
      <c r="EI30" s="156"/>
      <c r="EJ30" s="156"/>
      <c r="EK30" s="156"/>
    </row>
    <row r="31" spans="1:141" x14ac:dyDescent="0.2">
      <c r="A31" s="130" t="str">
        <f>'OM Rent Roll'!A14</f>
        <v>4955 A</v>
      </c>
      <c r="B31" s="130" t="str">
        <f>'OM Rent Roll'!B14</f>
        <v>Sharing &amp; Caring</v>
      </c>
      <c r="C31" s="131">
        <f>'OM Rent Roll'!C14</f>
        <v>1350</v>
      </c>
      <c r="D31" s="83">
        <f>C31/NRA</f>
        <v>7.5503355704697989E-2</v>
      </c>
      <c r="E31" s="130" t="str">
        <f>'OM Rent Roll'!D14</f>
        <v>MG</v>
      </c>
      <c r="F31" s="132">
        <f>'OM Rent Roll'!G14</f>
        <v>1.0185185185185186</v>
      </c>
      <c r="G31" s="133">
        <f>'OM Rent Roll'!H14</f>
        <v>0</v>
      </c>
      <c r="H31" s="159" t="str">
        <f>IF('OM Rent Roll'!E14=0,"",'OM Rent Roll'!E14)</f>
        <v>MTM</v>
      </c>
      <c r="I31" s="130" t="str">
        <f>IF('OM Rent Roll'!F14=0,"",'OM Rent Roll'!F14)</f>
        <v>MTM</v>
      </c>
      <c r="J31" s="128">
        <v>1</v>
      </c>
      <c r="K31" s="80">
        <v>60</v>
      </c>
      <c r="L31" s="80">
        <v>36</v>
      </c>
      <c r="M31" s="181">
        <f>Rent_Growth</f>
        <v>0.03</v>
      </c>
      <c r="N31" s="185">
        <v>0.5</v>
      </c>
      <c r="O31" s="80">
        <v>6</v>
      </c>
      <c r="P31" s="189">
        <v>25</v>
      </c>
      <c r="Q31" s="189">
        <v>5</v>
      </c>
      <c r="R31" s="181">
        <v>0.06</v>
      </c>
      <c r="S31" s="181">
        <v>0.03</v>
      </c>
      <c r="T31" s="80" t="s">
        <v>205</v>
      </c>
      <c r="U31" s="170">
        <v>0</v>
      </c>
      <c r="V31" s="174" t="str">
        <f t="shared" ref="V31:BA31" si="54">IF(OR($I$31="",$I$31=0),IF(V$2&lt;$U$31,"Vacant","Relet"),IF(ISTEXT($I$31),IF($U$31&gt;0,IF(V$2&lt;$U$31,"Downtime","Relet"),IF(V$2&lt;=$O$31,"Downtime","Relet")),IF($I$31&lt;=Close_Date,IF(V$2&lt;=$O$31,"Downtime","Relet"),IF(V$2&lt;=DATEDIF(Close_Date,$I$31,"M"),"In-Term",IF(V$2&lt;=DATEDIF(Close_Date,$I$31,"M")+$O$31,"Downtime","Relet")))))</f>
        <v>Downtime</v>
      </c>
      <c r="W31" s="149" t="str">
        <f t="shared" si="54"/>
        <v>Downtime</v>
      </c>
      <c r="X31" s="149" t="str">
        <f t="shared" si="54"/>
        <v>Downtime</v>
      </c>
      <c r="Y31" s="149" t="str">
        <f t="shared" si="54"/>
        <v>Downtime</v>
      </c>
      <c r="Z31" s="149" t="str">
        <f t="shared" si="54"/>
        <v>Downtime</v>
      </c>
      <c r="AA31" s="149" t="str">
        <f t="shared" si="54"/>
        <v>Downtime</v>
      </c>
      <c r="AB31" s="149" t="str">
        <f t="shared" si="54"/>
        <v>Relet</v>
      </c>
      <c r="AC31" s="149" t="str">
        <f t="shared" si="54"/>
        <v>Relet</v>
      </c>
      <c r="AD31" s="149" t="str">
        <f t="shared" si="54"/>
        <v>Relet</v>
      </c>
      <c r="AE31" s="149" t="str">
        <f t="shared" si="54"/>
        <v>Relet</v>
      </c>
      <c r="AF31" s="149" t="str">
        <f t="shared" si="54"/>
        <v>Relet</v>
      </c>
      <c r="AG31" s="149" t="str">
        <f t="shared" si="54"/>
        <v>Relet</v>
      </c>
      <c r="AH31" s="149" t="str">
        <f t="shared" si="54"/>
        <v>Relet</v>
      </c>
      <c r="AI31" s="149" t="str">
        <f t="shared" si="54"/>
        <v>Relet</v>
      </c>
      <c r="AJ31" s="149" t="str">
        <f t="shared" si="54"/>
        <v>Relet</v>
      </c>
      <c r="AK31" s="149" t="str">
        <f t="shared" si="54"/>
        <v>Relet</v>
      </c>
      <c r="AL31" s="149" t="str">
        <f t="shared" si="54"/>
        <v>Relet</v>
      </c>
      <c r="AM31" s="149" t="str">
        <f t="shared" si="54"/>
        <v>Relet</v>
      </c>
      <c r="AN31" s="149" t="str">
        <f t="shared" si="54"/>
        <v>Relet</v>
      </c>
      <c r="AO31" s="149" t="str">
        <f t="shared" si="54"/>
        <v>Relet</v>
      </c>
      <c r="AP31" s="149" t="str">
        <f t="shared" si="54"/>
        <v>Relet</v>
      </c>
      <c r="AQ31" s="149" t="str">
        <f t="shared" si="54"/>
        <v>Relet</v>
      </c>
      <c r="AR31" s="149" t="str">
        <f t="shared" si="54"/>
        <v>Relet</v>
      </c>
      <c r="AS31" s="149" t="str">
        <f t="shared" si="54"/>
        <v>Relet</v>
      </c>
      <c r="AT31" s="149" t="str">
        <f t="shared" si="54"/>
        <v>Relet</v>
      </c>
      <c r="AU31" s="149" t="str">
        <f t="shared" si="54"/>
        <v>Relet</v>
      </c>
      <c r="AV31" s="149" t="str">
        <f t="shared" si="54"/>
        <v>Relet</v>
      </c>
      <c r="AW31" s="149" t="str">
        <f t="shared" si="54"/>
        <v>Relet</v>
      </c>
      <c r="AX31" s="149" t="str">
        <f t="shared" si="54"/>
        <v>Relet</v>
      </c>
      <c r="AY31" s="149" t="str">
        <f t="shared" si="54"/>
        <v>Relet</v>
      </c>
      <c r="AZ31" s="149" t="str">
        <f t="shared" si="54"/>
        <v>Relet</v>
      </c>
      <c r="BA31" s="149" t="str">
        <f t="shared" si="54"/>
        <v>Relet</v>
      </c>
      <c r="BB31" s="149" t="str">
        <f t="shared" ref="BB31:CD31" si="55">IF(OR($I$31="",$I$31=0),IF(BB$2&lt;$U$31,"Vacant","Relet"),IF(ISTEXT($I$31),IF($U$31&gt;0,IF(BB$2&lt;$U$31,"Downtime","Relet"),IF(BB$2&lt;=$O$31,"Downtime","Relet")),IF($I$31&lt;=Close_Date,IF(BB$2&lt;=$O$31,"Downtime","Relet"),IF(BB$2&lt;=DATEDIF(Close_Date,$I$31,"M"),"In-Term",IF(BB$2&lt;=DATEDIF(Close_Date,$I$31,"M")+$O$31,"Downtime","Relet")))))</f>
        <v>Relet</v>
      </c>
      <c r="BC31" s="149" t="str">
        <f t="shared" si="55"/>
        <v>Relet</v>
      </c>
      <c r="BD31" s="149" t="str">
        <f t="shared" si="55"/>
        <v>Relet</v>
      </c>
      <c r="BE31" s="149" t="str">
        <f t="shared" si="55"/>
        <v>Relet</v>
      </c>
      <c r="BF31" s="149" t="str">
        <f t="shared" si="55"/>
        <v>Relet</v>
      </c>
      <c r="BG31" s="149" t="str">
        <f t="shared" si="55"/>
        <v>Relet</v>
      </c>
      <c r="BH31" s="149" t="str">
        <f t="shared" si="55"/>
        <v>Relet</v>
      </c>
      <c r="BI31" s="149" t="str">
        <f t="shared" si="55"/>
        <v>Relet</v>
      </c>
      <c r="BJ31" s="149" t="str">
        <f t="shared" si="55"/>
        <v>Relet</v>
      </c>
      <c r="BK31" s="149" t="str">
        <f t="shared" si="55"/>
        <v>Relet</v>
      </c>
      <c r="BL31" s="149" t="str">
        <f t="shared" si="55"/>
        <v>Relet</v>
      </c>
      <c r="BM31" s="149" t="str">
        <f t="shared" si="55"/>
        <v>Relet</v>
      </c>
      <c r="BN31" s="149" t="str">
        <f t="shared" si="55"/>
        <v>Relet</v>
      </c>
      <c r="BO31" s="149" t="str">
        <f t="shared" si="55"/>
        <v>Relet</v>
      </c>
      <c r="BP31" s="149" t="str">
        <f t="shared" si="55"/>
        <v>Relet</v>
      </c>
      <c r="BQ31" s="149" t="str">
        <f t="shared" si="55"/>
        <v>Relet</v>
      </c>
      <c r="BR31" s="149" t="str">
        <f t="shared" si="55"/>
        <v>Relet</v>
      </c>
      <c r="BS31" s="149" t="str">
        <f t="shared" si="55"/>
        <v>Relet</v>
      </c>
      <c r="BT31" s="149" t="str">
        <f t="shared" si="55"/>
        <v>Relet</v>
      </c>
      <c r="BU31" s="149" t="str">
        <f t="shared" si="55"/>
        <v>Relet</v>
      </c>
      <c r="BV31" s="149" t="str">
        <f t="shared" si="55"/>
        <v>Relet</v>
      </c>
      <c r="BW31" s="149" t="str">
        <f t="shared" si="55"/>
        <v>Relet</v>
      </c>
      <c r="BX31" s="149" t="str">
        <f t="shared" si="55"/>
        <v>Relet</v>
      </c>
      <c r="BY31" s="149" t="str">
        <f t="shared" si="55"/>
        <v>Relet</v>
      </c>
      <c r="BZ31" s="149" t="str">
        <f t="shared" si="55"/>
        <v>Relet</v>
      </c>
      <c r="CA31" s="149" t="str">
        <f t="shared" si="55"/>
        <v>Relet</v>
      </c>
      <c r="CB31" s="149" t="str">
        <f t="shared" si="55"/>
        <v>Relet</v>
      </c>
      <c r="CC31" s="149" t="str">
        <f t="shared" si="55"/>
        <v>Relet</v>
      </c>
      <c r="CD31" s="149" t="str">
        <f t="shared" si="55"/>
        <v>Relet</v>
      </c>
    </row>
    <row r="32" spans="1:141" x14ac:dyDescent="0.2">
      <c r="A32" s="157"/>
      <c r="B32" s="158" t="s">
        <v>203</v>
      </c>
      <c r="C32" s="157"/>
      <c r="D32" s="157"/>
      <c r="E32" s="157"/>
      <c r="F32" s="157"/>
      <c r="G32" s="157"/>
      <c r="H32" s="157"/>
      <c r="I32" s="157"/>
      <c r="J32" s="152"/>
      <c r="K32" s="157"/>
      <c r="L32" s="157"/>
      <c r="M32" s="182"/>
      <c r="N32" s="186"/>
      <c r="O32" s="157"/>
      <c r="P32" s="182"/>
      <c r="Q32" s="182"/>
      <c r="R32" s="182"/>
      <c r="S32" s="182"/>
      <c r="T32" s="157"/>
      <c r="U32" s="171"/>
      <c r="V32" s="175">
        <f t="shared" ref="V32:BA32" si="56">IF(V31="Vacant",0,IF(V31="In-Term",$F$31*(1+$G$31)^(INT((V$2-1)/12)),IF(AND(V31="Downtime",ISTEXT($I$31)),$F$31,$J$31*(1+$M$31)^(INT((V$2-1)/12)))))</f>
        <v>1.0185185185185186</v>
      </c>
      <c r="W32" s="153">
        <f t="shared" si="56"/>
        <v>1.0185185185185186</v>
      </c>
      <c r="X32" s="153">
        <f t="shared" si="56"/>
        <v>1.0185185185185186</v>
      </c>
      <c r="Y32" s="153">
        <f t="shared" si="56"/>
        <v>1.0185185185185186</v>
      </c>
      <c r="Z32" s="153">
        <f t="shared" si="56"/>
        <v>1.0185185185185186</v>
      </c>
      <c r="AA32" s="153">
        <f t="shared" si="56"/>
        <v>1.0185185185185186</v>
      </c>
      <c r="AB32" s="153">
        <f t="shared" si="56"/>
        <v>1</v>
      </c>
      <c r="AC32" s="153">
        <f t="shared" si="56"/>
        <v>1</v>
      </c>
      <c r="AD32" s="153">
        <f t="shared" si="56"/>
        <v>1</v>
      </c>
      <c r="AE32" s="153">
        <f t="shared" si="56"/>
        <v>1</v>
      </c>
      <c r="AF32" s="153">
        <f t="shared" si="56"/>
        <v>1</v>
      </c>
      <c r="AG32" s="153">
        <f t="shared" si="56"/>
        <v>1</v>
      </c>
      <c r="AH32" s="153">
        <f t="shared" si="56"/>
        <v>1.03</v>
      </c>
      <c r="AI32" s="153">
        <f t="shared" si="56"/>
        <v>1.03</v>
      </c>
      <c r="AJ32" s="153">
        <f t="shared" si="56"/>
        <v>1.03</v>
      </c>
      <c r="AK32" s="153">
        <f t="shared" si="56"/>
        <v>1.03</v>
      </c>
      <c r="AL32" s="153">
        <f t="shared" si="56"/>
        <v>1.03</v>
      </c>
      <c r="AM32" s="153">
        <f t="shared" si="56"/>
        <v>1.03</v>
      </c>
      <c r="AN32" s="153">
        <f t="shared" si="56"/>
        <v>1.03</v>
      </c>
      <c r="AO32" s="153">
        <f t="shared" si="56"/>
        <v>1.03</v>
      </c>
      <c r="AP32" s="153">
        <f t="shared" si="56"/>
        <v>1.03</v>
      </c>
      <c r="AQ32" s="153">
        <f t="shared" si="56"/>
        <v>1.03</v>
      </c>
      <c r="AR32" s="153">
        <f t="shared" si="56"/>
        <v>1.03</v>
      </c>
      <c r="AS32" s="153">
        <f t="shared" si="56"/>
        <v>1.03</v>
      </c>
      <c r="AT32" s="153">
        <f t="shared" si="56"/>
        <v>1.0609</v>
      </c>
      <c r="AU32" s="153">
        <f t="shared" si="56"/>
        <v>1.0609</v>
      </c>
      <c r="AV32" s="153">
        <f t="shared" si="56"/>
        <v>1.0609</v>
      </c>
      <c r="AW32" s="153">
        <f t="shared" si="56"/>
        <v>1.0609</v>
      </c>
      <c r="AX32" s="153">
        <f t="shared" si="56"/>
        <v>1.0609</v>
      </c>
      <c r="AY32" s="153">
        <f t="shared" si="56"/>
        <v>1.0609</v>
      </c>
      <c r="AZ32" s="153">
        <f t="shared" si="56"/>
        <v>1.0609</v>
      </c>
      <c r="BA32" s="153">
        <f t="shared" si="56"/>
        <v>1.0609</v>
      </c>
      <c r="BB32" s="153">
        <f t="shared" ref="BB32:CD32" si="57">IF(BB31="Vacant",0,IF(BB31="In-Term",$F$31*(1+$G$31)^(INT((BB$2-1)/12)),IF(AND(BB31="Downtime",ISTEXT($I$31)),$F$31,$J$31*(1+$M$31)^(INT((BB$2-1)/12)))))</f>
        <v>1.0609</v>
      </c>
      <c r="BC32" s="153">
        <f t="shared" si="57"/>
        <v>1.0609</v>
      </c>
      <c r="BD32" s="153">
        <f t="shared" si="57"/>
        <v>1.0609</v>
      </c>
      <c r="BE32" s="153">
        <f t="shared" si="57"/>
        <v>1.0609</v>
      </c>
      <c r="BF32" s="153">
        <f t="shared" si="57"/>
        <v>1.092727</v>
      </c>
      <c r="BG32" s="153">
        <f t="shared" si="57"/>
        <v>1.092727</v>
      </c>
      <c r="BH32" s="153">
        <f t="shared" si="57"/>
        <v>1.092727</v>
      </c>
      <c r="BI32" s="153">
        <f t="shared" si="57"/>
        <v>1.092727</v>
      </c>
      <c r="BJ32" s="153">
        <f t="shared" si="57"/>
        <v>1.092727</v>
      </c>
      <c r="BK32" s="153">
        <f t="shared" si="57"/>
        <v>1.092727</v>
      </c>
      <c r="BL32" s="153">
        <f t="shared" si="57"/>
        <v>1.092727</v>
      </c>
      <c r="BM32" s="153">
        <f t="shared" si="57"/>
        <v>1.092727</v>
      </c>
      <c r="BN32" s="153">
        <f t="shared" si="57"/>
        <v>1.092727</v>
      </c>
      <c r="BO32" s="153">
        <f t="shared" si="57"/>
        <v>1.092727</v>
      </c>
      <c r="BP32" s="153">
        <f t="shared" si="57"/>
        <v>1.092727</v>
      </c>
      <c r="BQ32" s="153">
        <f t="shared" si="57"/>
        <v>1.092727</v>
      </c>
      <c r="BR32" s="153">
        <f t="shared" si="57"/>
        <v>1.1255088099999999</v>
      </c>
      <c r="BS32" s="153">
        <f t="shared" si="57"/>
        <v>1.1255088099999999</v>
      </c>
      <c r="BT32" s="153">
        <f t="shared" si="57"/>
        <v>1.1255088099999999</v>
      </c>
      <c r="BU32" s="153">
        <f t="shared" si="57"/>
        <v>1.1255088099999999</v>
      </c>
      <c r="BV32" s="153">
        <f t="shared" si="57"/>
        <v>1.1255088099999999</v>
      </c>
      <c r="BW32" s="153">
        <f t="shared" si="57"/>
        <v>1.1255088099999999</v>
      </c>
      <c r="BX32" s="153">
        <f t="shared" si="57"/>
        <v>1.1255088099999999</v>
      </c>
      <c r="BY32" s="153">
        <f t="shared" si="57"/>
        <v>1.1255088099999999</v>
      </c>
      <c r="BZ32" s="153">
        <f t="shared" si="57"/>
        <v>1.1255088099999999</v>
      </c>
      <c r="CA32" s="153">
        <f t="shared" si="57"/>
        <v>1.1255088099999999</v>
      </c>
      <c r="CB32" s="153">
        <f t="shared" si="57"/>
        <v>1.1255088099999999</v>
      </c>
      <c r="CC32" s="153">
        <f t="shared" si="57"/>
        <v>1.1255088099999999</v>
      </c>
      <c r="CD32" s="153">
        <f t="shared" si="57"/>
        <v>1.1592740742999998</v>
      </c>
      <c r="CE32" s="154"/>
      <c r="CF32" s="154"/>
      <c r="CG32" s="154"/>
      <c r="CH32" s="154"/>
      <c r="CI32" s="154"/>
      <c r="CJ32" s="154"/>
      <c r="CK32" s="154"/>
      <c r="CL32" s="154"/>
      <c r="CM32" s="154"/>
      <c r="CN32" s="154"/>
      <c r="CO32" s="154"/>
      <c r="CP32" s="154"/>
      <c r="CQ32" s="154"/>
      <c r="CR32" s="154"/>
      <c r="CS32" s="154"/>
      <c r="CT32" s="154"/>
      <c r="CU32" s="154"/>
      <c r="CV32" s="154"/>
      <c r="CW32" s="154"/>
      <c r="CX32" s="154"/>
      <c r="CY32" s="154"/>
      <c r="CZ32" s="154"/>
      <c r="DA32" s="154"/>
      <c r="DB32" s="154"/>
      <c r="DC32" s="154"/>
      <c r="DD32" s="154"/>
      <c r="DE32" s="154"/>
      <c r="DF32" s="154"/>
      <c r="DG32" s="154"/>
      <c r="DH32" s="154"/>
      <c r="DI32" s="154"/>
      <c r="DJ32" s="154"/>
      <c r="DK32" s="154"/>
      <c r="DL32" s="154"/>
      <c r="DM32" s="154"/>
      <c r="DN32" s="154"/>
      <c r="DO32" s="154"/>
      <c r="DP32" s="154"/>
      <c r="DQ32" s="154"/>
      <c r="DR32" s="154"/>
      <c r="DS32" s="154"/>
      <c r="DT32" s="154"/>
      <c r="DU32" s="154"/>
      <c r="DV32" s="154"/>
      <c r="DW32" s="154"/>
      <c r="DX32" s="154"/>
      <c r="DY32" s="154"/>
      <c r="DZ32" s="154"/>
      <c r="EA32" s="154"/>
      <c r="EB32" s="154"/>
      <c r="EC32" s="154"/>
      <c r="ED32" s="154"/>
      <c r="EE32" s="154"/>
      <c r="EF32" s="154"/>
      <c r="EG32" s="154"/>
      <c r="EH32" s="154"/>
      <c r="EI32" s="154"/>
      <c r="EJ32" s="154"/>
      <c r="EK32" s="154"/>
    </row>
    <row r="33" spans="1:141" x14ac:dyDescent="0.2">
      <c r="A33" s="157"/>
      <c r="B33" s="158" t="s">
        <v>204</v>
      </c>
      <c r="C33" s="157"/>
      <c r="D33" s="157"/>
      <c r="E33" s="157"/>
      <c r="F33" s="157"/>
      <c r="G33" s="157"/>
      <c r="H33" s="157"/>
      <c r="I33" s="157"/>
      <c r="J33" s="152"/>
      <c r="K33" s="157"/>
      <c r="L33" s="157"/>
      <c r="M33" s="182"/>
      <c r="N33" s="186"/>
      <c r="O33" s="157"/>
      <c r="P33" s="182"/>
      <c r="Q33" s="182"/>
      <c r="R33" s="182"/>
      <c r="S33" s="182"/>
      <c r="T33" s="157"/>
      <c r="U33" s="171"/>
      <c r="V33" s="176">
        <f t="shared" ref="V33:BA33" si="58">IF(V31="Vacant",0,IF(V31="Downtime",$N$31*V32*$C$31,V32*$C$31))</f>
        <v>687.5</v>
      </c>
      <c r="W33" s="155">
        <f t="shared" si="58"/>
        <v>687.5</v>
      </c>
      <c r="X33" s="155">
        <f t="shared" si="58"/>
        <v>687.5</v>
      </c>
      <c r="Y33" s="155">
        <f t="shared" si="58"/>
        <v>687.5</v>
      </c>
      <c r="Z33" s="155">
        <f t="shared" si="58"/>
        <v>687.5</v>
      </c>
      <c r="AA33" s="155">
        <f t="shared" si="58"/>
        <v>687.5</v>
      </c>
      <c r="AB33" s="155">
        <f t="shared" si="58"/>
        <v>1350</v>
      </c>
      <c r="AC33" s="155">
        <f t="shared" si="58"/>
        <v>1350</v>
      </c>
      <c r="AD33" s="155">
        <f t="shared" si="58"/>
        <v>1350</v>
      </c>
      <c r="AE33" s="155">
        <f t="shared" si="58"/>
        <v>1350</v>
      </c>
      <c r="AF33" s="155">
        <f t="shared" si="58"/>
        <v>1350</v>
      </c>
      <c r="AG33" s="155">
        <f t="shared" si="58"/>
        <v>1350</v>
      </c>
      <c r="AH33" s="155">
        <f t="shared" si="58"/>
        <v>1390.5</v>
      </c>
      <c r="AI33" s="155">
        <f t="shared" si="58"/>
        <v>1390.5</v>
      </c>
      <c r="AJ33" s="155">
        <f t="shared" si="58"/>
        <v>1390.5</v>
      </c>
      <c r="AK33" s="155">
        <f t="shared" si="58"/>
        <v>1390.5</v>
      </c>
      <c r="AL33" s="155">
        <f t="shared" si="58"/>
        <v>1390.5</v>
      </c>
      <c r="AM33" s="155">
        <f t="shared" si="58"/>
        <v>1390.5</v>
      </c>
      <c r="AN33" s="155">
        <f t="shared" si="58"/>
        <v>1390.5</v>
      </c>
      <c r="AO33" s="155">
        <f t="shared" si="58"/>
        <v>1390.5</v>
      </c>
      <c r="AP33" s="155">
        <f t="shared" si="58"/>
        <v>1390.5</v>
      </c>
      <c r="AQ33" s="155">
        <f t="shared" si="58"/>
        <v>1390.5</v>
      </c>
      <c r="AR33" s="155">
        <f t="shared" si="58"/>
        <v>1390.5</v>
      </c>
      <c r="AS33" s="155">
        <f t="shared" si="58"/>
        <v>1390.5</v>
      </c>
      <c r="AT33" s="155">
        <f t="shared" si="58"/>
        <v>1432.2149999999999</v>
      </c>
      <c r="AU33" s="155">
        <f t="shared" si="58"/>
        <v>1432.2149999999999</v>
      </c>
      <c r="AV33" s="155">
        <f t="shared" si="58"/>
        <v>1432.2149999999999</v>
      </c>
      <c r="AW33" s="155">
        <f t="shared" si="58"/>
        <v>1432.2149999999999</v>
      </c>
      <c r="AX33" s="155">
        <f t="shared" si="58"/>
        <v>1432.2149999999999</v>
      </c>
      <c r="AY33" s="155">
        <f t="shared" si="58"/>
        <v>1432.2149999999999</v>
      </c>
      <c r="AZ33" s="155">
        <f t="shared" si="58"/>
        <v>1432.2149999999999</v>
      </c>
      <c r="BA33" s="155">
        <f t="shared" si="58"/>
        <v>1432.2149999999999</v>
      </c>
      <c r="BB33" s="155">
        <f t="shared" ref="BB33:CD33" si="59">IF(BB31="Vacant",0,IF(BB31="Downtime",$N$31*BB32*$C$31,BB32*$C$31))</f>
        <v>1432.2149999999999</v>
      </c>
      <c r="BC33" s="155">
        <f t="shared" si="59"/>
        <v>1432.2149999999999</v>
      </c>
      <c r="BD33" s="155">
        <f t="shared" si="59"/>
        <v>1432.2149999999999</v>
      </c>
      <c r="BE33" s="155">
        <f t="shared" si="59"/>
        <v>1432.2149999999999</v>
      </c>
      <c r="BF33" s="155">
        <f t="shared" si="59"/>
        <v>1475.18145</v>
      </c>
      <c r="BG33" s="155">
        <f t="shared" si="59"/>
        <v>1475.18145</v>
      </c>
      <c r="BH33" s="155">
        <f t="shared" si="59"/>
        <v>1475.18145</v>
      </c>
      <c r="BI33" s="155">
        <f t="shared" si="59"/>
        <v>1475.18145</v>
      </c>
      <c r="BJ33" s="155">
        <f t="shared" si="59"/>
        <v>1475.18145</v>
      </c>
      <c r="BK33" s="155">
        <f t="shared" si="59"/>
        <v>1475.18145</v>
      </c>
      <c r="BL33" s="155">
        <f t="shared" si="59"/>
        <v>1475.18145</v>
      </c>
      <c r="BM33" s="155">
        <f t="shared" si="59"/>
        <v>1475.18145</v>
      </c>
      <c r="BN33" s="155">
        <f t="shared" si="59"/>
        <v>1475.18145</v>
      </c>
      <c r="BO33" s="155">
        <f t="shared" si="59"/>
        <v>1475.18145</v>
      </c>
      <c r="BP33" s="155">
        <f t="shared" si="59"/>
        <v>1475.18145</v>
      </c>
      <c r="BQ33" s="155">
        <f t="shared" si="59"/>
        <v>1475.18145</v>
      </c>
      <c r="BR33" s="155">
        <f t="shared" si="59"/>
        <v>1519.4368935</v>
      </c>
      <c r="BS33" s="155">
        <f t="shared" si="59"/>
        <v>1519.4368935</v>
      </c>
      <c r="BT33" s="155">
        <f t="shared" si="59"/>
        <v>1519.4368935</v>
      </c>
      <c r="BU33" s="155">
        <f t="shared" si="59"/>
        <v>1519.4368935</v>
      </c>
      <c r="BV33" s="155">
        <f t="shared" si="59"/>
        <v>1519.4368935</v>
      </c>
      <c r="BW33" s="155">
        <f t="shared" si="59"/>
        <v>1519.4368935</v>
      </c>
      <c r="BX33" s="155">
        <f t="shared" si="59"/>
        <v>1519.4368935</v>
      </c>
      <c r="BY33" s="155">
        <f t="shared" si="59"/>
        <v>1519.4368935</v>
      </c>
      <c r="BZ33" s="155">
        <f t="shared" si="59"/>
        <v>1519.4368935</v>
      </c>
      <c r="CA33" s="155">
        <f t="shared" si="59"/>
        <v>1519.4368935</v>
      </c>
      <c r="CB33" s="155">
        <f t="shared" si="59"/>
        <v>1519.4368935</v>
      </c>
      <c r="CC33" s="155">
        <f t="shared" si="59"/>
        <v>1519.4368935</v>
      </c>
      <c r="CD33" s="155">
        <f t="shared" si="59"/>
        <v>1565.0200003049997</v>
      </c>
      <c r="CE33" s="156"/>
      <c r="CF33" s="156"/>
      <c r="CG33" s="156"/>
      <c r="CH33" s="156"/>
      <c r="CI33" s="156"/>
      <c r="CJ33" s="156"/>
      <c r="CK33" s="156"/>
      <c r="CL33" s="156"/>
      <c r="CM33" s="156"/>
      <c r="CN33" s="156"/>
      <c r="CO33" s="156"/>
      <c r="CP33" s="156"/>
      <c r="CQ33" s="156"/>
      <c r="CR33" s="156"/>
      <c r="CS33" s="156"/>
      <c r="CT33" s="156"/>
      <c r="CU33" s="156"/>
      <c r="CV33" s="156"/>
      <c r="CW33" s="156"/>
      <c r="CX33" s="156"/>
      <c r="CY33" s="156"/>
      <c r="CZ33" s="156"/>
      <c r="DA33" s="156"/>
      <c r="DB33" s="156"/>
      <c r="DC33" s="156"/>
      <c r="DD33" s="156"/>
      <c r="DE33" s="156"/>
      <c r="DF33" s="156"/>
      <c r="DG33" s="156"/>
      <c r="DH33" s="156"/>
      <c r="DI33" s="156"/>
      <c r="DJ33" s="156"/>
      <c r="DK33" s="156"/>
      <c r="DL33" s="156"/>
      <c r="DM33" s="156"/>
      <c r="DN33" s="156"/>
      <c r="DO33" s="156"/>
      <c r="DP33" s="156"/>
      <c r="DQ33" s="156"/>
      <c r="DR33" s="156"/>
      <c r="DS33" s="156"/>
      <c r="DT33" s="156"/>
      <c r="DU33" s="156"/>
      <c r="DV33" s="156"/>
      <c r="DW33" s="156"/>
      <c r="DX33" s="156"/>
      <c r="DY33" s="156"/>
      <c r="DZ33" s="156"/>
      <c r="EA33" s="156"/>
      <c r="EB33" s="156"/>
      <c r="EC33" s="156"/>
      <c r="ED33" s="156"/>
      <c r="EE33" s="156"/>
      <c r="EF33" s="156"/>
      <c r="EG33" s="156"/>
      <c r="EH33" s="156"/>
      <c r="EI33" s="156"/>
      <c r="EJ33" s="156"/>
      <c r="EK33" s="156"/>
    </row>
    <row r="34" spans="1:141" x14ac:dyDescent="0.2">
      <c r="A34" s="125" t="str">
        <f>'OM Rent Roll'!A15</f>
        <v>4955 B</v>
      </c>
      <c r="B34" s="125" t="str">
        <f>'OM Rent Roll'!B15</f>
        <v>Spoteless Cleaners</v>
      </c>
      <c r="C34" s="126">
        <f>'OM Rent Roll'!C15</f>
        <v>1310</v>
      </c>
      <c r="D34" s="63">
        <f>C34/NRA</f>
        <v>7.3266219239373598E-2</v>
      </c>
      <c r="E34" s="125" t="str">
        <f>'OM Rent Roll'!D15</f>
        <v>NNN</v>
      </c>
      <c r="F34" s="127">
        <f>'OM Rent Roll'!G15</f>
        <v>0.82595419847328244</v>
      </c>
      <c r="G34" s="129">
        <f>'OM Rent Roll'!H15</f>
        <v>0</v>
      </c>
      <c r="H34" s="148" t="str">
        <f>IF('OM Rent Roll'!E15=0,"",'OM Rent Roll'!E15)</f>
        <v>MTM</v>
      </c>
      <c r="I34" s="125" t="str">
        <f>IF('OM Rent Roll'!F15=0,"",'OM Rent Roll'!F15)</f>
        <v>MTM</v>
      </c>
      <c r="J34" s="128">
        <v>1</v>
      </c>
      <c r="K34" s="60">
        <v>60</v>
      </c>
      <c r="L34" s="60">
        <v>36</v>
      </c>
      <c r="M34" s="179">
        <f>Rent_Growth</f>
        <v>0.03</v>
      </c>
      <c r="N34" s="183">
        <v>0.5</v>
      </c>
      <c r="O34" s="60">
        <v>6</v>
      </c>
      <c r="P34" s="188">
        <v>25</v>
      </c>
      <c r="Q34" s="188">
        <v>5</v>
      </c>
      <c r="R34" s="179">
        <v>0.06</v>
      </c>
      <c r="S34" s="179">
        <v>0.03</v>
      </c>
      <c r="T34" s="60" t="s">
        <v>202</v>
      </c>
      <c r="U34" s="168">
        <v>0</v>
      </c>
      <c r="V34" s="174" t="str">
        <f t="shared" ref="V34:BA34" si="60">IF(OR($I$34="",$I$34=0),IF(V$2&lt;$U$34,"Vacant","Relet"),IF(ISTEXT($I$34),IF($U$34&gt;0,IF(V$2&lt;$U$34,"Downtime","Relet"),IF(V$2&lt;=$O$34,"Downtime","Relet")),IF($I$34&lt;=Close_Date,IF(V$2&lt;=$O$34,"Downtime","Relet"),IF(V$2&lt;=DATEDIF(Close_Date,$I$34,"M"),"In-Term",IF(V$2&lt;=DATEDIF(Close_Date,$I$34,"M")+$O$34,"Downtime","Relet")))))</f>
        <v>Downtime</v>
      </c>
      <c r="W34" s="149" t="str">
        <f t="shared" si="60"/>
        <v>Downtime</v>
      </c>
      <c r="X34" s="149" t="str">
        <f t="shared" si="60"/>
        <v>Downtime</v>
      </c>
      <c r="Y34" s="149" t="str">
        <f t="shared" si="60"/>
        <v>Downtime</v>
      </c>
      <c r="Z34" s="149" t="str">
        <f t="shared" si="60"/>
        <v>Downtime</v>
      </c>
      <c r="AA34" s="149" t="str">
        <f t="shared" si="60"/>
        <v>Downtime</v>
      </c>
      <c r="AB34" s="149" t="str">
        <f t="shared" si="60"/>
        <v>Relet</v>
      </c>
      <c r="AC34" s="149" t="str">
        <f t="shared" si="60"/>
        <v>Relet</v>
      </c>
      <c r="AD34" s="149" t="str">
        <f t="shared" si="60"/>
        <v>Relet</v>
      </c>
      <c r="AE34" s="149" t="str">
        <f t="shared" si="60"/>
        <v>Relet</v>
      </c>
      <c r="AF34" s="149" t="str">
        <f t="shared" si="60"/>
        <v>Relet</v>
      </c>
      <c r="AG34" s="149" t="str">
        <f t="shared" si="60"/>
        <v>Relet</v>
      </c>
      <c r="AH34" s="149" t="str">
        <f t="shared" si="60"/>
        <v>Relet</v>
      </c>
      <c r="AI34" s="149" t="str">
        <f t="shared" si="60"/>
        <v>Relet</v>
      </c>
      <c r="AJ34" s="149" t="str">
        <f t="shared" si="60"/>
        <v>Relet</v>
      </c>
      <c r="AK34" s="149" t="str">
        <f t="shared" si="60"/>
        <v>Relet</v>
      </c>
      <c r="AL34" s="149" t="str">
        <f t="shared" si="60"/>
        <v>Relet</v>
      </c>
      <c r="AM34" s="149" t="str">
        <f t="shared" si="60"/>
        <v>Relet</v>
      </c>
      <c r="AN34" s="149" t="str">
        <f t="shared" si="60"/>
        <v>Relet</v>
      </c>
      <c r="AO34" s="149" t="str">
        <f t="shared" si="60"/>
        <v>Relet</v>
      </c>
      <c r="AP34" s="149" t="str">
        <f t="shared" si="60"/>
        <v>Relet</v>
      </c>
      <c r="AQ34" s="149" t="str">
        <f t="shared" si="60"/>
        <v>Relet</v>
      </c>
      <c r="AR34" s="149" t="str">
        <f t="shared" si="60"/>
        <v>Relet</v>
      </c>
      <c r="AS34" s="149" t="str">
        <f t="shared" si="60"/>
        <v>Relet</v>
      </c>
      <c r="AT34" s="149" t="str">
        <f t="shared" si="60"/>
        <v>Relet</v>
      </c>
      <c r="AU34" s="149" t="str">
        <f t="shared" si="60"/>
        <v>Relet</v>
      </c>
      <c r="AV34" s="149" t="str">
        <f t="shared" si="60"/>
        <v>Relet</v>
      </c>
      <c r="AW34" s="149" t="str">
        <f t="shared" si="60"/>
        <v>Relet</v>
      </c>
      <c r="AX34" s="149" t="str">
        <f t="shared" si="60"/>
        <v>Relet</v>
      </c>
      <c r="AY34" s="149" t="str">
        <f t="shared" si="60"/>
        <v>Relet</v>
      </c>
      <c r="AZ34" s="149" t="str">
        <f t="shared" si="60"/>
        <v>Relet</v>
      </c>
      <c r="BA34" s="149" t="str">
        <f t="shared" si="60"/>
        <v>Relet</v>
      </c>
      <c r="BB34" s="149" t="str">
        <f t="shared" ref="BB34:CD34" si="61">IF(OR($I$34="",$I$34=0),IF(BB$2&lt;$U$34,"Vacant","Relet"),IF(ISTEXT($I$34),IF($U$34&gt;0,IF(BB$2&lt;$U$34,"Downtime","Relet"),IF(BB$2&lt;=$O$34,"Downtime","Relet")),IF($I$34&lt;=Close_Date,IF(BB$2&lt;=$O$34,"Downtime","Relet"),IF(BB$2&lt;=DATEDIF(Close_Date,$I$34,"M"),"In-Term",IF(BB$2&lt;=DATEDIF(Close_Date,$I$34,"M")+$O$34,"Downtime","Relet")))))</f>
        <v>Relet</v>
      </c>
      <c r="BC34" s="149" t="str">
        <f t="shared" si="61"/>
        <v>Relet</v>
      </c>
      <c r="BD34" s="149" t="str">
        <f t="shared" si="61"/>
        <v>Relet</v>
      </c>
      <c r="BE34" s="149" t="str">
        <f t="shared" si="61"/>
        <v>Relet</v>
      </c>
      <c r="BF34" s="149" t="str">
        <f t="shared" si="61"/>
        <v>Relet</v>
      </c>
      <c r="BG34" s="149" t="str">
        <f t="shared" si="61"/>
        <v>Relet</v>
      </c>
      <c r="BH34" s="149" t="str">
        <f t="shared" si="61"/>
        <v>Relet</v>
      </c>
      <c r="BI34" s="149" t="str">
        <f t="shared" si="61"/>
        <v>Relet</v>
      </c>
      <c r="BJ34" s="149" t="str">
        <f t="shared" si="61"/>
        <v>Relet</v>
      </c>
      <c r="BK34" s="149" t="str">
        <f t="shared" si="61"/>
        <v>Relet</v>
      </c>
      <c r="BL34" s="149" t="str">
        <f t="shared" si="61"/>
        <v>Relet</v>
      </c>
      <c r="BM34" s="149" t="str">
        <f t="shared" si="61"/>
        <v>Relet</v>
      </c>
      <c r="BN34" s="149" t="str">
        <f t="shared" si="61"/>
        <v>Relet</v>
      </c>
      <c r="BO34" s="149" t="str">
        <f t="shared" si="61"/>
        <v>Relet</v>
      </c>
      <c r="BP34" s="149" t="str">
        <f t="shared" si="61"/>
        <v>Relet</v>
      </c>
      <c r="BQ34" s="149" t="str">
        <f t="shared" si="61"/>
        <v>Relet</v>
      </c>
      <c r="BR34" s="149" t="str">
        <f t="shared" si="61"/>
        <v>Relet</v>
      </c>
      <c r="BS34" s="149" t="str">
        <f t="shared" si="61"/>
        <v>Relet</v>
      </c>
      <c r="BT34" s="149" t="str">
        <f t="shared" si="61"/>
        <v>Relet</v>
      </c>
      <c r="BU34" s="149" t="str">
        <f t="shared" si="61"/>
        <v>Relet</v>
      </c>
      <c r="BV34" s="149" t="str">
        <f t="shared" si="61"/>
        <v>Relet</v>
      </c>
      <c r="BW34" s="149" t="str">
        <f t="shared" si="61"/>
        <v>Relet</v>
      </c>
      <c r="BX34" s="149" t="str">
        <f t="shared" si="61"/>
        <v>Relet</v>
      </c>
      <c r="BY34" s="149" t="str">
        <f t="shared" si="61"/>
        <v>Relet</v>
      </c>
      <c r="BZ34" s="149" t="str">
        <f t="shared" si="61"/>
        <v>Relet</v>
      </c>
      <c r="CA34" s="149" t="str">
        <f t="shared" si="61"/>
        <v>Relet</v>
      </c>
      <c r="CB34" s="149" t="str">
        <f t="shared" si="61"/>
        <v>Relet</v>
      </c>
      <c r="CC34" s="149" t="str">
        <f t="shared" si="61"/>
        <v>Relet</v>
      </c>
      <c r="CD34" s="149" t="str">
        <f t="shared" si="61"/>
        <v>Relet</v>
      </c>
    </row>
    <row r="35" spans="1:141" x14ac:dyDescent="0.2">
      <c r="A35" s="150"/>
      <c r="B35" s="151" t="s">
        <v>203</v>
      </c>
      <c r="C35" s="150"/>
      <c r="D35" s="150"/>
      <c r="E35" s="150"/>
      <c r="F35" s="150"/>
      <c r="G35" s="150"/>
      <c r="H35" s="150"/>
      <c r="I35" s="150"/>
      <c r="J35" s="152"/>
      <c r="K35" s="150"/>
      <c r="L35" s="150"/>
      <c r="M35" s="180"/>
      <c r="N35" s="184"/>
      <c r="O35" s="150"/>
      <c r="P35" s="180"/>
      <c r="Q35" s="180"/>
      <c r="R35" s="180"/>
      <c r="S35" s="180"/>
      <c r="T35" s="150"/>
      <c r="U35" s="169"/>
      <c r="V35" s="175">
        <f t="shared" ref="V35:BA35" si="62">IF(V34="Vacant",0,IF(V34="In-Term",$F$34*(1+$G$34)^(INT((V$2-1)/12)),IF(AND(V34="Downtime",ISTEXT($I$34)),$F$34,$J$34*(1+$M$34)^(INT((V$2-1)/12)))))</f>
        <v>0.82595419847328244</v>
      </c>
      <c r="W35" s="153">
        <f t="shared" si="62"/>
        <v>0.82595419847328244</v>
      </c>
      <c r="X35" s="153">
        <f t="shared" si="62"/>
        <v>0.82595419847328244</v>
      </c>
      <c r="Y35" s="153">
        <f t="shared" si="62"/>
        <v>0.82595419847328244</v>
      </c>
      <c r="Z35" s="153">
        <f t="shared" si="62"/>
        <v>0.82595419847328244</v>
      </c>
      <c r="AA35" s="153">
        <f t="shared" si="62"/>
        <v>0.82595419847328244</v>
      </c>
      <c r="AB35" s="153">
        <f t="shared" si="62"/>
        <v>1</v>
      </c>
      <c r="AC35" s="153">
        <f t="shared" si="62"/>
        <v>1</v>
      </c>
      <c r="AD35" s="153">
        <f t="shared" si="62"/>
        <v>1</v>
      </c>
      <c r="AE35" s="153">
        <f t="shared" si="62"/>
        <v>1</v>
      </c>
      <c r="AF35" s="153">
        <f t="shared" si="62"/>
        <v>1</v>
      </c>
      <c r="AG35" s="153">
        <f t="shared" si="62"/>
        <v>1</v>
      </c>
      <c r="AH35" s="153">
        <f t="shared" si="62"/>
        <v>1.03</v>
      </c>
      <c r="AI35" s="153">
        <f t="shared" si="62"/>
        <v>1.03</v>
      </c>
      <c r="AJ35" s="153">
        <f t="shared" si="62"/>
        <v>1.03</v>
      </c>
      <c r="AK35" s="153">
        <f t="shared" si="62"/>
        <v>1.03</v>
      </c>
      <c r="AL35" s="153">
        <f t="shared" si="62"/>
        <v>1.03</v>
      </c>
      <c r="AM35" s="153">
        <f t="shared" si="62"/>
        <v>1.03</v>
      </c>
      <c r="AN35" s="153">
        <f t="shared" si="62"/>
        <v>1.03</v>
      </c>
      <c r="AO35" s="153">
        <f t="shared" si="62"/>
        <v>1.03</v>
      </c>
      <c r="AP35" s="153">
        <f t="shared" si="62"/>
        <v>1.03</v>
      </c>
      <c r="AQ35" s="153">
        <f t="shared" si="62"/>
        <v>1.03</v>
      </c>
      <c r="AR35" s="153">
        <f t="shared" si="62"/>
        <v>1.03</v>
      </c>
      <c r="AS35" s="153">
        <f t="shared" si="62"/>
        <v>1.03</v>
      </c>
      <c r="AT35" s="153">
        <f t="shared" si="62"/>
        <v>1.0609</v>
      </c>
      <c r="AU35" s="153">
        <f t="shared" si="62"/>
        <v>1.0609</v>
      </c>
      <c r="AV35" s="153">
        <f t="shared" si="62"/>
        <v>1.0609</v>
      </c>
      <c r="AW35" s="153">
        <f t="shared" si="62"/>
        <v>1.0609</v>
      </c>
      <c r="AX35" s="153">
        <f t="shared" si="62"/>
        <v>1.0609</v>
      </c>
      <c r="AY35" s="153">
        <f t="shared" si="62"/>
        <v>1.0609</v>
      </c>
      <c r="AZ35" s="153">
        <f t="shared" si="62"/>
        <v>1.0609</v>
      </c>
      <c r="BA35" s="153">
        <f t="shared" si="62"/>
        <v>1.0609</v>
      </c>
      <c r="BB35" s="153">
        <f t="shared" ref="BB35:CD35" si="63">IF(BB34="Vacant",0,IF(BB34="In-Term",$F$34*(1+$G$34)^(INT((BB$2-1)/12)),IF(AND(BB34="Downtime",ISTEXT($I$34)),$F$34,$J$34*(1+$M$34)^(INT((BB$2-1)/12)))))</f>
        <v>1.0609</v>
      </c>
      <c r="BC35" s="153">
        <f t="shared" si="63"/>
        <v>1.0609</v>
      </c>
      <c r="BD35" s="153">
        <f t="shared" si="63"/>
        <v>1.0609</v>
      </c>
      <c r="BE35" s="153">
        <f t="shared" si="63"/>
        <v>1.0609</v>
      </c>
      <c r="BF35" s="153">
        <f t="shared" si="63"/>
        <v>1.092727</v>
      </c>
      <c r="BG35" s="153">
        <f t="shared" si="63"/>
        <v>1.092727</v>
      </c>
      <c r="BH35" s="153">
        <f t="shared" si="63"/>
        <v>1.092727</v>
      </c>
      <c r="BI35" s="153">
        <f t="shared" si="63"/>
        <v>1.092727</v>
      </c>
      <c r="BJ35" s="153">
        <f t="shared" si="63"/>
        <v>1.092727</v>
      </c>
      <c r="BK35" s="153">
        <f t="shared" si="63"/>
        <v>1.092727</v>
      </c>
      <c r="BL35" s="153">
        <f t="shared" si="63"/>
        <v>1.092727</v>
      </c>
      <c r="BM35" s="153">
        <f t="shared" si="63"/>
        <v>1.092727</v>
      </c>
      <c r="BN35" s="153">
        <f t="shared" si="63"/>
        <v>1.092727</v>
      </c>
      <c r="BO35" s="153">
        <f t="shared" si="63"/>
        <v>1.092727</v>
      </c>
      <c r="BP35" s="153">
        <f t="shared" si="63"/>
        <v>1.092727</v>
      </c>
      <c r="BQ35" s="153">
        <f t="shared" si="63"/>
        <v>1.092727</v>
      </c>
      <c r="BR35" s="153">
        <f t="shared" si="63"/>
        <v>1.1255088099999999</v>
      </c>
      <c r="BS35" s="153">
        <f t="shared" si="63"/>
        <v>1.1255088099999999</v>
      </c>
      <c r="BT35" s="153">
        <f t="shared" si="63"/>
        <v>1.1255088099999999</v>
      </c>
      <c r="BU35" s="153">
        <f t="shared" si="63"/>
        <v>1.1255088099999999</v>
      </c>
      <c r="BV35" s="153">
        <f t="shared" si="63"/>
        <v>1.1255088099999999</v>
      </c>
      <c r="BW35" s="153">
        <f t="shared" si="63"/>
        <v>1.1255088099999999</v>
      </c>
      <c r="BX35" s="153">
        <f t="shared" si="63"/>
        <v>1.1255088099999999</v>
      </c>
      <c r="BY35" s="153">
        <f t="shared" si="63"/>
        <v>1.1255088099999999</v>
      </c>
      <c r="BZ35" s="153">
        <f t="shared" si="63"/>
        <v>1.1255088099999999</v>
      </c>
      <c r="CA35" s="153">
        <f t="shared" si="63"/>
        <v>1.1255088099999999</v>
      </c>
      <c r="CB35" s="153">
        <f t="shared" si="63"/>
        <v>1.1255088099999999</v>
      </c>
      <c r="CC35" s="153">
        <f t="shared" si="63"/>
        <v>1.1255088099999999</v>
      </c>
      <c r="CD35" s="153">
        <f t="shared" si="63"/>
        <v>1.1592740742999998</v>
      </c>
      <c r="CE35" s="154"/>
      <c r="CF35" s="154"/>
      <c r="CG35" s="154"/>
      <c r="CH35" s="154"/>
      <c r="CI35" s="154"/>
      <c r="CJ35" s="154"/>
      <c r="CK35" s="154"/>
      <c r="CL35" s="154"/>
      <c r="CM35" s="154"/>
      <c r="CN35" s="154"/>
      <c r="CO35" s="154"/>
      <c r="CP35" s="154"/>
      <c r="CQ35" s="154"/>
      <c r="CR35" s="154"/>
      <c r="CS35" s="154"/>
      <c r="CT35" s="154"/>
      <c r="CU35" s="154"/>
      <c r="CV35" s="154"/>
      <c r="CW35" s="154"/>
      <c r="CX35" s="154"/>
      <c r="CY35" s="154"/>
      <c r="CZ35" s="154"/>
      <c r="DA35" s="154"/>
      <c r="DB35" s="154"/>
      <c r="DC35" s="154"/>
      <c r="DD35" s="154"/>
      <c r="DE35" s="154"/>
      <c r="DF35" s="154"/>
      <c r="DG35" s="154"/>
      <c r="DH35" s="154"/>
      <c r="DI35" s="154"/>
      <c r="DJ35" s="154"/>
      <c r="DK35" s="154"/>
      <c r="DL35" s="154"/>
      <c r="DM35" s="154"/>
      <c r="DN35" s="154"/>
      <c r="DO35" s="154"/>
      <c r="DP35" s="154"/>
      <c r="DQ35" s="154"/>
      <c r="DR35" s="154"/>
      <c r="DS35" s="154"/>
      <c r="DT35" s="154"/>
      <c r="DU35" s="154"/>
      <c r="DV35" s="154"/>
      <c r="DW35" s="154"/>
      <c r="DX35" s="154"/>
      <c r="DY35" s="154"/>
      <c r="DZ35" s="154"/>
      <c r="EA35" s="154"/>
      <c r="EB35" s="154"/>
      <c r="EC35" s="154"/>
      <c r="ED35" s="154"/>
      <c r="EE35" s="154"/>
      <c r="EF35" s="154"/>
      <c r="EG35" s="154"/>
      <c r="EH35" s="154"/>
      <c r="EI35" s="154"/>
      <c r="EJ35" s="154"/>
      <c r="EK35" s="154"/>
    </row>
    <row r="36" spans="1:141" x14ac:dyDescent="0.2">
      <c r="A36" s="150"/>
      <c r="B36" s="151" t="s">
        <v>204</v>
      </c>
      <c r="C36" s="150"/>
      <c r="D36" s="150"/>
      <c r="E36" s="150"/>
      <c r="F36" s="150"/>
      <c r="G36" s="150"/>
      <c r="H36" s="150"/>
      <c r="I36" s="150"/>
      <c r="J36" s="152"/>
      <c r="K36" s="150"/>
      <c r="L36" s="150"/>
      <c r="M36" s="180"/>
      <c r="N36" s="184"/>
      <c r="O36" s="150"/>
      <c r="P36" s="180"/>
      <c r="Q36" s="180"/>
      <c r="R36" s="180"/>
      <c r="S36" s="180"/>
      <c r="T36" s="150"/>
      <c r="U36" s="169"/>
      <c r="V36" s="176">
        <f t="shared" ref="V36:BA36" si="64">IF(V34="Vacant",0,IF(V34="Downtime",$N$34*V35*$C$34,V35*$C$34))</f>
        <v>541</v>
      </c>
      <c r="W36" s="155">
        <f t="shared" si="64"/>
        <v>541</v>
      </c>
      <c r="X36" s="155">
        <f t="shared" si="64"/>
        <v>541</v>
      </c>
      <c r="Y36" s="155">
        <f t="shared" si="64"/>
        <v>541</v>
      </c>
      <c r="Z36" s="155">
        <f t="shared" si="64"/>
        <v>541</v>
      </c>
      <c r="AA36" s="155">
        <f t="shared" si="64"/>
        <v>541</v>
      </c>
      <c r="AB36" s="155">
        <f t="shared" si="64"/>
        <v>1310</v>
      </c>
      <c r="AC36" s="155">
        <f t="shared" si="64"/>
        <v>1310</v>
      </c>
      <c r="AD36" s="155">
        <f t="shared" si="64"/>
        <v>1310</v>
      </c>
      <c r="AE36" s="155">
        <f t="shared" si="64"/>
        <v>1310</v>
      </c>
      <c r="AF36" s="155">
        <f t="shared" si="64"/>
        <v>1310</v>
      </c>
      <c r="AG36" s="155">
        <f t="shared" si="64"/>
        <v>1310</v>
      </c>
      <c r="AH36" s="155">
        <f t="shared" si="64"/>
        <v>1349.3</v>
      </c>
      <c r="AI36" s="155">
        <f t="shared" si="64"/>
        <v>1349.3</v>
      </c>
      <c r="AJ36" s="155">
        <f t="shared" si="64"/>
        <v>1349.3</v>
      </c>
      <c r="AK36" s="155">
        <f t="shared" si="64"/>
        <v>1349.3</v>
      </c>
      <c r="AL36" s="155">
        <f t="shared" si="64"/>
        <v>1349.3</v>
      </c>
      <c r="AM36" s="155">
        <f t="shared" si="64"/>
        <v>1349.3</v>
      </c>
      <c r="AN36" s="155">
        <f t="shared" si="64"/>
        <v>1349.3</v>
      </c>
      <c r="AO36" s="155">
        <f t="shared" si="64"/>
        <v>1349.3</v>
      </c>
      <c r="AP36" s="155">
        <f t="shared" si="64"/>
        <v>1349.3</v>
      </c>
      <c r="AQ36" s="155">
        <f t="shared" si="64"/>
        <v>1349.3</v>
      </c>
      <c r="AR36" s="155">
        <f t="shared" si="64"/>
        <v>1349.3</v>
      </c>
      <c r="AS36" s="155">
        <f t="shared" si="64"/>
        <v>1349.3</v>
      </c>
      <c r="AT36" s="155">
        <f t="shared" si="64"/>
        <v>1389.779</v>
      </c>
      <c r="AU36" s="155">
        <f t="shared" si="64"/>
        <v>1389.779</v>
      </c>
      <c r="AV36" s="155">
        <f t="shared" si="64"/>
        <v>1389.779</v>
      </c>
      <c r="AW36" s="155">
        <f t="shared" si="64"/>
        <v>1389.779</v>
      </c>
      <c r="AX36" s="155">
        <f t="shared" si="64"/>
        <v>1389.779</v>
      </c>
      <c r="AY36" s="155">
        <f t="shared" si="64"/>
        <v>1389.779</v>
      </c>
      <c r="AZ36" s="155">
        <f t="shared" si="64"/>
        <v>1389.779</v>
      </c>
      <c r="BA36" s="155">
        <f t="shared" si="64"/>
        <v>1389.779</v>
      </c>
      <c r="BB36" s="155">
        <f t="shared" ref="BB36:CD36" si="65">IF(BB34="Vacant",0,IF(BB34="Downtime",$N$34*BB35*$C$34,BB35*$C$34))</f>
        <v>1389.779</v>
      </c>
      <c r="BC36" s="155">
        <f t="shared" si="65"/>
        <v>1389.779</v>
      </c>
      <c r="BD36" s="155">
        <f t="shared" si="65"/>
        <v>1389.779</v>
      </c>
      <c r="BE36" s="155">
        <f t="shared" si="65"/>
        <v>1389.779</v>
      </c>
      <c r="BF36" s="155">
        <f t="shared" si="65"/>
        <v>1431.47237</v>
      </c>
      <c r="BG36" s="155">
        <f t="shared" si="65"/>
        <v>1431.47237</v>
      </c>
      <c r="BH36" s="155">
        <f t="shared" si="65"/>
        <v>1431.47237</v>
      </c>
      <c r="BI36" s="155">
        <f t="shared" si="65"/>
        <v>1431.47237</v>
      </c>
      <c r="BJ36" s="155">
        <f t="shared" si="65"/>
        <v>1431.47237</v>
      </c>
      <c r="BK36" s="155">
        <f t="shared" si="65"/>
        <v>1431.47237</v>
      </c>
      <c r="BL36" s="155">
        <f t="shared" si="65"/>
        <v>1431.47237</v>
      </c>
      <c r="BM36" s="155">
        <f t="shared" si="65"/>
        <v>1431.47237</v>
      </c>
      <c r="BN36" s="155">
        <f t="shared" si="65"/>
        <v>1431.47237</v>
      </c>
      <c r="BO36" s="155">
        <f t="shared" si="65"/>
        <v>1431.47237</v>
      </c>
      <c r="BP36" s="155">
        <f t="shared" si="65"/>
        <v>1431.47237</v>
      </c>
      <c r="BQ36" s="155">
        <f t="shared" si="65"/>
        <v>1431.47237</v>
      </c>
      <c r="BR36" s="155">
        <f t="shared" si="65"/>
        <v>1474.4165410999999</v>
      </c>
      <c r="BS36" s="155">
        <f t="shared" si="65"/>
        <v>1474.4165410999999</v>
      </c>
      <c r="BT36" s="155">
        <f t="shared" si="65"/>
        <v>1474.4165410999999</v>
      </c>
      <c r="BU36" s="155">
        <f t="shared" si="65"/>
        <v>1474.4165410999999</v>
      </c>
      <c r="BV36" s="155">
        <f t="shared" si="65"/>
        <v>1474.4165410999999</v>
      </c>
      <c r="BW36" s="155">
        <f t="shared" si="65"/>
        <v>1474.4165410999999</v>
      </c>
      <c r="BX36" s="155">
        <f t="shared" si="65"/>
        <v>1474.4165410999999</v>
      </c>
      <c r="BY36" s="155">
        <f t="shared" si="65"/>
        <v>1474.4165410999999</v>
      </c>
      <c r="BZ36" s="155">
        <f t="shared" si="65"/>
        <v>1474.4165410999999</v>
      </c>
      <c r="CA36" s="155">
        <f t="shared" si="65"/>
        <v>1474.4165410999999</v>
      </c>
      <c r="CB36" s="155">
        <f t="shared" si="65"/>
        <v>1474.4165410999999</v>
      </c>
      <c r="CC36" s="155">
        <f t="shared" si="65"/>
        <v>1474.4165410999999</v>
      </c>
      <c r="CD36" s="155">
        <f t="shared" si="65"/>
        <v>1518.6490373329998</v>
      </c>
      <c r="CE36" s="156"/>
      <c r="CF36" s="156"/>
      <c r="CG36" s="156"/>
      <c r="CH36" s="156"/>
      <c r="CI36" s="156"/>
      <c r="CJ36" s="156"/>
      <c r="CK36" s="156"/>
      <c r="CL36" s="156"/>
      <c r="CM36" s="156"/>
      <c r="CN36" s="156"/>
      <c r="CO36" s="156"/>
      <c r="CP36" s="156"/>
      <c r="CQ36" s="156"/>
      <c r="CR36" s="156"/>
      <c r="CS36" s="156"/>
      <c r="CT36" s="156"/>
      <c r="CU36" s="156"/>
      <c r="CV36" s="156"/>
      <c r="CW36" s="156"/>
      <c r="CX36" s="156"/>
      <c r="CY36" s="156"/>
      <c r="CZ36" s="156"/>
      <c r="DA36" s="156"/>
      <c r="DB36" s="156"/>
      <c r="DC36" s="156"/>
      <c r="DD36" s="156"/>
      <c r="DE36" s="156"/>
      <c r="DF36" s="156"/>
      <c r="DG36" s="156"/>
      <c r="DH36" s="156"/>
      <c r="DI36" s="156"/>
      <c r="DJ36" s="156"/>
      <c r="DK36" s="156"/>
      <c r="DL36" s="156"/>
      <c r="DM36" s="156"/>
      <c r="DN36" s="156"/>
      <c r="DO36" s="156"/>
      <c r="DP36" s="156"/>
      <c r="DQ36" s="156"/>
      <c r="DR36" s="156"/>
      <c r="DS36" s="156"/>
      <c r="DT36" s="156"/>
      <c r="DU36" s="156"/>
      <c r="DV36" s="156"/>
      <c r="DW36" s="156"/>
      <c r="DX36" s="156"/>
      <c r="DY36" s="156"/>
      <c r="DZ36" s="156"/>
      <c r="EA36" s="156"/>
      <c r="EB36" s="156"/>
      <c r="EC36" s="156"/>
      <c r="ED36" s="156"/>
      <c r="EE36" s="156"/>
      <c r="EF36" s="156"/>
      <c r="EG36" s="156"/>
      <c r="EH36" s="156"/>
      <c r="EI36" s="156"/>
      <c r="EJ36" s="156"/>
      <c r="EK36" s="156"/>
    </row>
    <row r="37" spans="1:141" x14ac:dyDescent="0.2">
      <c r="A37" s="130" t="str">
        <f>'OM Rent Roll'!A16</f>
        <v>4955 C</v>
      </c>
      <c r="B37" s="130" t="str">
        <f>'OM Rent Roll'!B16</f>
        <v>Dawn's Pet Palace</v>
      </c>
      <c r="C37" s="131">
        <f>'OM Rent Roll'!C16</f>
        <v>1880</v>
      </c>
      <c r="D37" s="83">
        <f>C37/NRA</f>
        <v>0.10514541387024609</v>
      </c>
      <c r="E37" s="130" t="str">
        <f>'OM Rent Roll'!D16</f>
        <v>NNN</v>
      </c>
      <c r="F37" s="132">
        <f>'OM Rent Roll'!G16</f>
        <v>0.80106382978723401</v>
      </c>
      <c r="G37" s="133">
        <f>'OM Rent Roll'!H16</f>
        <v>3.0736144060146353E-2</v>
      </c>
      <c r="H37" s="159">
        <f>IF('OM Rent Roll'!E16=0,"",'OM Rent Roll'!E16)</f>
        <v>45992</v>
      </c>
      <c r="I37" s="159">
        <f>IF('OM Rent Roll'!F16=0,"",'OM Rent Roll'!F16)</f>
        <v>47087</v>
      </c>
      <c r="J37" s="128">
        <v>1</v>
      </c>
      <c r="K37" s="80">
        <v>60</v>
      </c>
      <c r="L37" s="80">
        <v>36</v>
      </c>
      <c r="M37" s="181">
        <f>Rent_Growth</f>
        <v>0.03</v>
      </c>
      <c r="N37" s="185">
        <v>0.75</v>
      </c>
      <c r="O37" s="80">
        <v>6</v>
      </c>
      <c r="P37" s="189">
        <v>25</v>
      </c>
      <c r="Q37" s="189">
        <v>5</v>
      </c>
      <c r="R37" s="181">
        <v>0.06</v>
      </c>
      <c r="S37" s="181">
        <v>0.03</v>
      </c>
      <c r="T37" s="80" t="s">
        <v>202</v>
      </c>
      <c r="U37" s="170">
        <v>0</v>
      </c>
      <c r="V37" s="174" t="str">
        <f t="shared" ref="V37:BA37" si="66">IF(OR($I$37="",$I$37=0),IF(V$2&lt;$U$37,"Vacant","Relet"),IF(ISTEXT($I$37),IF($U$37&gt;0,IF(V$2&lt;$U$37,"Downtime","Relet"),IF(V$2&lt;=$O$37,"Downtime","Relet")),IF($I$37&lt;=Close_Date,IF(V$2&lt;=$O$37,"Downtime","Relet"),IF(V$2&lt;=DATEDIF(Close_Date,$I$37,"M"),"In-Term",IF(V$2&lt;=DATEDIF(Close_Date,$I$37,"M")+$O$37,"Downtime","Relet")))))</f>
        <v>In-Term</v>
      </c>
      <c r="W37" s="149" t="str">
        <f t="shared" si="66"/>
        <v>In-Term</v>
      </c>
      <c r="X37" s="149" t="str">
        <f t="shared" si="66"/>
        <v>In-Term</v>
      </c>
      <c r="Y37" s="149" t="str">
        <f t="shared" si="66"/>
        <v>In-Term</v>
      </c>
      <c r="Z37" s="149" t="str">
        <f t="shared" si="66"/>
        <v>In-Term</v>
      </c>
      <c r="AA37" s="149" t="str">
        <f t="shared" si="66"/>
        <v>In-Term</v>
      </c>
      <c r="AB37" s="149" t="str">
        <f t="shared" si="66"/>
        <v>In-Term</v>
      </c>
      <c r="AC37" s="149" t="str">
        <f t="shared" si="66"/>
        <v>In-Term</v>
      </c>
      <c r="AD37" s="149" t="str">
        <f t="shared" si="66"/>
        <v>In-Term</v>
      </c>
      <c r="AE37" s="149" t="str">
        <f t="shared" si="66"/>
        <v>In-Term</v>
      </c>
      <c r="AF37" s="149" t="str">
        <f t="shared" si="66"/>
        <v>In-Term</v>
      </c>
      <c r="AG37" s="149" t="str">
        <f t="shared" si="66"/>
        <v>In-Term</v>
      </c>
      <c r="AH37" s="149" t="str">
        <f t="shared" si="66"/>
        <v>In-Term</v>
      </c>
      <c r="AI37" s="149" t="str">
        <f t="shared" si="66"/>
        <v>In-Term</v>
      </c>
      <c r="AJ37" s="149" t="str">
        <f t="shared" si="66"/>
        <v>In-Term</v>
      </c>
      <c r="AK37" s="149" t="str">
        <f t="shared" si="66"/>
        <v>In-Term</v>
      </c>
      <c r="AL37" s="149" t="str">
        <f t="shared" si="66"/>
        <v>In-Term</v>
      </c>
      <c r="AM37" s="149" t="str">
        <f t="shared" si="66"/>
        <v>In-Term</v>
      </c>
      <c r="AN37" s="149" t="str">
        <f t="shared" si="66"/>
        <v>In-Term</v>
      </c>
      <c r="AO37" s="149" t="str">
        <f t="shared" si="66"/>
        <v>In-Term</v>
      </c>
      <c r="AP37" s="149" t="str">
        <f t="shared" si="66"/>
        <v>In-Term</v>
      </c>
      <c r="AQ37" s="149" t="str">
        <f t="shared" si="66"/>
        <v>In-Term</v>
      </c>
      <c r="AR37" s="149" t="str">
        <f t="shared" si="66"/>
        <v>In-Term</v>
      </c>
      <c r="AS37" s="149" t="str">
        <f t="shared" si="66"/>
        <v>In-Term</v>
      </c>
      <c r="AT37" s="149" t="str">
        <f t="shared" si="66"/>
        <v>In-Term</v>
      </c>
      <c r="AU37" s="149" t="str">
        <f t="shared" si="66"/>
        <v>In-Term</v>
      </c>
      <c r="AV37" s="149" t="str">
        <f t="shared" si="66"/>
        <v>In-Term</v>
      </c>
      <c r="AW37" s="149" t="str">
        <f t="shared" si="66"/>
        <v>In-Term</v>
      </c>
      <c r="AX37" s="149" t="str">
        <f t="shared" si="66"/>
        <v>In-Term</v>
      </c>
      <c r="AY37" s="149" t="str">
        <f t="shared" si="66"/>
        <v>In-Term</v>
      </c>
      <c r="AZ37" s="149" t="str">
        <f t="shared" si="66"/>
        <v>Downtime</v>
      </c>
      <c r="BA37" s="149" t="str">
        <f t="shared" si="66"/>
        <v>Downtime</v>
      </c>
      <c r="BB37" s="149" t="str">
        <f t="shared" ref="BB37:CD37" si="67">IF(OR($I$37="",$I$37=0),IF(BB$2&lt;$U$37,"Vacant","Relet"),IF(ISTEXT($I$37),IF($U$37&gt;0,IF(BB$2&lt;$U$37,"Downtime","Relet"),IF(BB$2&lt;=$O$37,"Downtime","Relet")),IF($I$37&lt;=Close_Date,IF(BB$2&lt;=$O$37,"Downtime","Relet"),IF(BB$2&lt;=DATEDIF(Close_Date,$I$37,"M"),"In-Term",IF(BB$2&lt;=DATEDIF(Close_Date,$I$37,"M")+$O$37,"Downtime","Relet")))))</f>
        <v>Downtime</v>
      </c>
      <c r="BC37" s="149" t="str">
        <f t="shared" si="67"/>
        <v>Downtime</v>
      </c>
      <c r="BD37" s="149" t="str">
        <f t="shared" si="67"/>
        <v>Downtime</v>
      </c>
      <c r="BE37" s="149" t="str">
        <f t="shared" si="67"/>
        <v>Downtime</v>
      </c>
      <c r="BF37" s="149" t="str">
        <f t="shared" si="67"/>
        <v>Relet</v>
      </c>
      <c r="BG37" s="149" t="str">
        <f t="shared" si="67"/>
        <v>Relet</v>
      </c>
      <c r="BH37" s="149" t="str">
        <f t="shared" si="67"/>
        <v>Relet</v>
      </c>
      <c r="BI37" s="149" t="str">
        <f t="shared" si="67"/>
        <v>Relet</v>
      </c>
      <c r="BJ37" s="149" t="str">
        <f t="shared" si="67"/>
        <v>Relet</v>
      </c>
      <c r="BK37" s="149" t="str">
        <f t="shared" si="67"/>
        <v>Relet</v>
      </c>
      <c r="BL37" s="149" t="str">
        <f t="shared" si="67"/>
        <v>Relet</v>
      </c>
      <c r="BM37" s="149" t="str">
        <f t="shared" si="67"/>
        <v>Relet</v>
      </c>
      <c r="BN37" s="149" t="str">
        <f t="shared" si="67"/>
        <v>Relet</v>
      </c>
      <c r="BO37" s="149" t="str">
        <f t="shared" si="67"/>
        <v>Relet</v>
      </c>
      <c r="BP37" s="149" t="str">
        <f t="shared" si="67"/>
        <v>Relet</v>
      </c>
      <c r="BQ37" s="149" t="str">
        <f t="shared" si="67"/>
        <v>Relet</v>
      </c>
      <c r="BR37" s="149" t="str">
        <f t="shared" si="67"/>
        <v>Relet</v>
      </c>
      <c r="BS37" s="149" t="str">
        <f t="shared" si="67"/>
        <v>Relet</v>
      </c>
      <c r="BT37" s="149" t="str">
        <f t="shared" si="67"/>
        <v>Relet</v>
      </c>
      <c r="BU37" s="149" t="str">
        <f t="shared" si="67"/>
        <v>Relet</v>
      </c>
      <c r="BV37" s="149" t="str">
        <f t="shared" si="67"/>
        <v>Relet</v>
      </c>
      <c r="BW37" s="149" t="str">
        <f t="shared" si="67"/>
        <v>Relet</v>
      </c>
      <c r="BX37" s="149" t="str">
        <f t="shared" si="67"/>
        <v>Relet</v>
      </c>
      <c r="BY37" s="149" t="str">
        <f t="shared" si="67"/>
        <v>Relet</v>
      </c>
      <c r="BZ37" s="149" t="str">
        <f t="shared" si="67"/>
        <v>Relet</v>
      </c>
      <c r="CA37" s="149" t="str">
        <f t="shared" si="67"/>
        <v>Relet</v>
      </c>
      <c r="CB37" s="149" t="str">
        <f t="shared" si="67"/>
        <v>Relet</v>
      </c>
      <c r="CC37" s="149" t="str">
        <f t="shared" si="67"/>
        <v>Relet</v>
      </c>
      <c r="CD37" s="149" t="str">
        <f t="shared" si="67"/>
        <v>Relet</v>
      </c>
    </row>
    <row r="38" spans="1:141" x14ac:dyDescent="0.2">
      <c r="A38" s="157"/>
      <c r="B38" s="158" t="s">
        <v>203</v>
      </c>
      <c r="C38" s="157"/>
      <c r="D38" s="157"/>
      <c r="E38" s="157"/>
      <c r="F38" s="157"/>
      <c r="G38" s="157"/>
      <c r="H38" s="157"/>
      <c r="I38" s="157"/>
      <c r="J38" s="152"/>
      <c r="K38" s="157"/>
      <c r="L38" s="157"/>
      <c r="M38" s="182"/>
      <c r="N38" s="186"/>
      <c r="O38" s="157"/>
      <c r="P38" s="182"/>
      <c r="Q38" s="182"/>
      <c r="R38" s="182"/>
      <c r="S38" s="182"/>
      <c r="T38" s="157"/>
      <c r="U38" s="171"/>
      <c r="V38" s="175">
        <f t="shared" ref="V38:BA38" si="68">IF(V37="Vacant",0,IF(V37="In-Term",$F$37*(1+$G$37)^(INT((V$2-1)/12)),IF(AND(V37="Downtime",ISTEXT($I$37)),$F$37,$J$37*(1+$M$37)^(INT((V$2-1)/12)))))</f>
        <v>0.80106382978723401</v>
      </c>
      <c r="W38" s="153">
        <f t="shared" si="68"/>
        <v>0.80106382978723401</v>
      </c>
      <c r="X38" s="153">
        <f t="shared" si="68"/>
        <v>0.80106382978723401</v>
      </c>
      <c r="Y38" s="153">
        <f t="shared" si="68"/>
        <v>0.80106382978723401</v>
      </c>
      <c r="Z38" s="153">
        <f t="shared" si="68"/>
        <v>0.80106382978723401</v>
      </c>
      <c r="AA38" s="153">
        <f t="shared" si="68"/>
        <v>0.80106382978723401</v>
      </c>
      <c r="AB38" s="153">
        <f t="shared" si="68"/>
        <v>0.80106382978723401</v>
      </c>
      <c r="AC38" s="153">
        <f t="shared" si="68"/>
        <v>0.80106382978723401</v>
      </c>
      <c r="AD38" s="153">
        <f t="shared" si="68"/>
        <v>0.80106382978723401</v>
      </c>
      <c r="AE38" s="153">
        <f t="shared" si="68"/>
        <v>0.80106382978723401</v>
      </c>
      <c r="AF38" s="153">
        <f t="shared" si="68"/>
        <v>0.80106382978723401</v>
      </c>
      <c r="AG38" s="153">
        <f t="shared" si="68"/>
        <v>0.80106382978723401</v>
      </c>
      <c r="AH38" s="153">
        <f t="shared" si="68"/>
        <v>0.82568544306094693</v>
      </c>
      <c r="AI38" s="153">
        <f t="shared" si="68"/>
        <v>0.82568544306094693</v>
      </c>
      <c r="AJ38" s="153">
        <f t="shared" si="68"/>
        <v>0.82568544306094693</v>
      </c>
      <c r="AK38" s="153">
        <f t="shared" si="68"/>
        <v>0.82568544306094693</v>
      </c>
      <c r="AL38" s="153">
        <f t="shared" si="68"/>
        <v>0.82568544306094693</v>
      </c>
      <c r="AM38" s="153">
        <f t="shared" si="68"/>
        <v>0.82568544306094693</v>
      </c>
      <c r="AN38" s="153">
        <f t="shared" si="68"/>
        <v>0.82568544306094693</v>
      </c>
      <c r="AO38" s="153">
        <f t="shared" si="68"/>
        <v>0.82568544306094693</v>
      </c>
      <c r="AP38" s="153">
        <f t="shared" si="68"/>
        <v>0.82568544306094693</v>
      </c>
      <c r="AQ38" s="153">
        <f t="shared" si="68"/>
        <v>0.82568544306094693</v>
      </c>
      <c r="AR38" s="153">
        <f t="shared" si="68"/>
        <v>0.82568544306094693</v>
      </c>
      <c r="AS38" s="153">
        <f t="shared" si="68"/>
        <v>0.82568544306094693</v>
      </c>
      <c r="AT38" s="153">
        <f t="shared" si="68"/>
        <v>0.85106382978723394</v>
      </c>
      <c r="AU38" s="153">
        <f t="shared" si="68"/>
        <v>0.85106382978723394</v>
      </c>
      <c r="AV38" s="153">
        <f t="shared" si="68"/>
        <v>0.85106382978723394</v>
      </c>
      <c r="AW38" s="153">
        <f t="shared" si="68"/>
        <v>0.85106382978723394</v>
      </c>
      <c r="AX38" s="153">
        <f t="shared" si="68"/>
        <v>0.85106382978723394</v>
      </c>
      <c r="AY38" s="153">
        <f t="shared" si="68"/>
        <v>0.85106382978723394</v>
      </c>
      <c r="AZ38" s="153">
        <f t="shared" si="68"/>
        <v>1.0609</v>
      </c>
      <c r="BA38" s="153">
        <f t="shared" si="68"/>
        <v>1.0609</v>
      </c>
      <c r="BB38" s="153">
        <f t="shared" ref="BB38:CD38" si="69">IF(BB37="Vacant",0,IF(BB37="In-Term",$F$37*(1+$G$37)^(INT((BB$2-1)/12)),IF(AND(BB37="Downtime",ISTEXT($I$37)),$F$37,$J$37*(1+$M$37)^(INT((BB$2-1)/12)))))</f>
        <v>1.0609</v>
      </c>
      <c r="BC38" s="153">
        <f t="shared" si="69"/>
        <v>1.0609</v>
      </c>
      <c r="BD38" s="153">
        <f t="shared" si="69"/>
        <v>1.0609</v>
      </c>
      <c r="BE38" s="153">
        <f t="shared" si="69"/>
        <v>1.0609</v>
      </c>
      <c r="BF38" s="153">
        <f t="shared" si="69"/>
        <v>1.092727</v>
      </c>
      <c r="BG38" s="153">
        <f t="shared" si="69"/>
        <v>1.092727</v>
      </c>
      <c r="BH38" s="153">
        <f t="shared" si="69"/>
        <v>1.092727</v>
      </c>
      <c r="BI38" s="153">
        <f t="shared" si="69"/>
        <v>1.092727</v>
      </c>
      <c r="BJ38" s="153">
        <f t="shared" si="69"/>
        <v>1.092727</v>
      </c>
      <c r="BK38" s="153">
        <f t="shared" si="69"/>
        <v>1.092727</v>
      </c>
      <c r="BL38" s="153">
        <f t="shared" si="69"/>
        <v>1.092727</v>
      </c>
      <c r="BM38" s="153">
        <f t="shared" si="69"/>
        <v>1.092727</v>
      </c>
      <c r="BN38" s="153">
        <f t="shared" si="69"/>
        <v>1.092727</v>
      </c>
      <c r="BO38" s="153">
        <f t="shared" si="69"/>
        <v>1.092727</v>
      </c>
      <c r="BP38" s="153">
        <f t="shared" si="69"/>
        <v>1.092727</v>
      </c>
      <c r="BQ38" s="153">
        <f t="shared" si="69"/>
        <v>1.092727</v>
      </c>
      <c r="BR38" s="153">
        <f t="shared" si="69"/>
        <v>1.1255088099999999</v>
      </c>
      <c r="BS38" s="153">
        <f t="shared" si="69"/>
        <v>1.1255088099999999</v>
      </c>
      <c r="BT38" s="153">
        <f t="shared" si="69"/>
        <v>1.1255088099999999</v>
      </c>
      <c r="BU38" s="153">
        <f t="shared" si="69"/>
        <v>1.1255088099999999</v>
      </c>
      <c r="BV38" s="153">
        <f t="shared" si="69"/>
        <v>1.1255088099999999</v>
      </c>
      <c r="BW38" s="153">
        <f t="shared" si="69"/>
        <v>1.1255088099999999</v>
      </c>
      <c r="BX38" s="153">
        <f t="shared" si="69"/>
        <v>1.1255088099999999</v>
      </c>
      <c r="BY38" s="153">
        <f t="shared" si="69"/>
        <v>1.1255088099999999</v>
      </c>
      <c r="BZ38" s="153">
        <f t="shared" si="69"/>
        <v>1.1255088099999999</v>
      </c>
      <c r="CA38" s="153">
        <f t="shared" si="69"/>
        <v>1.1255088099999999</v>
      </c>
      <c r="CB38" s="153">
        <f t="shared" si="69"/>
        <v>1.1255088099999999</v>
      </c>
      <c r="CC38" s="153">
        <f t="shared" si="69"/>
        <v>1.1255088099999999</v>
      </c>
      <c r="CD38" s="153">
        <f t="shared" si="69"/>
        <v>1.1592740742999998</v>
      </c>
      <c r="CE38" s="154"/>
      <c r="CF38" s="154"/>
      <c r="CG38" s="154"/>
      <c r="CH38" s="154"/>
      <c r="CI38" s="154"/>
      <c r="CJ38" s="154"/>
      <c r="CK38" s="154"/>
      <c r="CL38" s="154"/>
      <c r="CM38" s="154"/>
      <c r="CN38" s="154"/>
      <c r="CO38" s="154"/>
      <c r="CP38" s="154"/>
      <c r="CQ38" s="154"/>
      <c r="CR38" s="154"/>
      <c r="CS38" s="154"/>
      <c r="CT38" s="154"/>
      <c r="CU38" s="154"/>
      <c r="CV38" s="154"/>
      <c r="CW38" s="154"/>
      <c r="CX38" s="154"/>
      <c r="CY38" s="154"/>
      <c r="CZ38" s="154"/>
      <c r="DA38" s="154"/>
      <c r="DB38" s="154"/>
      <c r="DC38" s="154"/>
      <c r="DD38" s="154"/>
      <c r="DE38" s="154"/>
      <c r="DF38" s="154"/>
      <c r="DG38" s="154"/>
      <c r="DH38" s="154"/>
      <c r="DI38" s="154"/>
      <c r="DJ38" s="154"/>
      <c r="DK38" s="154"/>
      <c r="DL38" s="154"/>
      <c r="DM38" s="154"/>
      <c r="DN38" s="154"/>
      <c r="DO38" s="154"/>
      <c r="DP38" s="154"/>
      <c r="DQ38" s="154"/>
      <c r="DR38" s="154"/>
      <c r="DS38" s="154"/>
      <c r="DT38" s="154"/>
      <c r="DU38" s="154"/>
      <c r="DV38" s="154"/>
      <c r="DW38" s="154"/>
      <c r="DX38" s="154"/>
      <c r="DY38" s="154"/>
      <c r="DZ38" s="154"/>
      <c r="EA38" s="154"/>
      <c r="EB38" s="154"/>
      <c r="EC38" s="154"/>
      <c r="ED38" s="154"/>
      <c r="EE38" s="154"/>
      <c r="EF38" s="154"/>
      <c r="EG38" s="154"/>
      <c r="EH38" s="154"/>
      <c r="EI38" s="154"/>
      <c r="EJ38" s="154"/>
      <c r="EK38" s="154"/>
    </row>
    <row r="39" spans="1:141" x14ac:dyDescent="0.2">
      <c r="A39" s="157"/>
      <c r="B39" s="158" t="s">
        <v>204</v>
      </c>
      <c r="C39" s="157"/>
      <c r="D39" s="157"/>
      <c r="E39" s="157"/>
      <c r="F39" s="157"/>
      <c r="G39" s="157"/>
      <c r="H39" s="157"/>
      <c r="I39" s="157"/>
      <c r="J39" s="152"/>
      <c r="K39" s="157"/>
      <c r="L39" s="157"/>
      <c r="M39" s="182"/>
      <c r="N39" s="186"/>
      <c r="O39" s="157"/>
      <c r="P39" s="182"/>
      <c r="Q39" s="182"/>
      <c r="R39" s="182"/>
      <c r="S39" s="182"/>
      <c r="T39" s="157"/>
      <c r="U39" s="171"/>
      <c r="V39" s="176">
        <f t="shared" ref="V39:BA39" si="70">IF(V37="Vacant",0,IF(V37="Downtime",$N$37*V38*$C$37,V38*$C$37))</f>
        <v>1506</v>
      </c>
      <c r="W39" s="155">
        <f t="shared" si="70"/>
        <v>1506</v>
      </c>
      <c r="X39" s="155">
        <f t="shared" si="70"/>
        <v>1506</v>
      </c>
      <c r="Y39" s="155">
        <f t="shared" si="70"/>
        <v>1506</v>
      </c>
      <c r="Z39" s="155">
        <f t="shared" si="70"/>
        <v>1506</v>
      </c>
      <c r="AA39" s="155">
        <f t="shared" si="70"/>
        <v>1506</v>
      </c>
      <c r="AB39" s="155">
        <f t="shared" si="70"/>
        <v>1506</v>
      </c>
      <c r="AC39" s="155">
        <f t="shared" si="70"/>
        <v>1506</v>
      </c>
      <c r="AD39" s="155">
        <f t="shared" si="70"/>
        <v>1506</v>
      </c>
      <c r="AE39" s="155">
        <f t="shared" si="70"/>
        <v>1506</v>
      </c>
      <c r="AF39" s="155">
        <f t="shared" si="70"/>
        <v>1506</v>
      </c>
      <c r="AG39" s="155">
        <f t="shared" si="70"/>
        <v>1506</v>
      </c>
      <c r="AH39" s="155">
        <f t="shared" si="70"/>
        <v>1552.2886329545802</v>
      </c>
      <c r="AI39" s="155">
        <f t="shared" si="70"/>
        <v>1552.2886329545802</v>
      </c>
      <c r="AJ39" s="155">
        <f t="shared" si="70"/>
        <v>1552.2886329545802</v>
      </c>
      <c r="AK39" s="155">
        <f t="shared" si="70"/>
        <v>1552.2886329545802</v>
      </c>
      <c r="AL39" s="155">
        <f t="shared" si="70"/>
        <v>1552.2886329545802</v>
      </c>
      <c r="AM39" s="155">
        <f t="shared" si="70"/>
        <v>1552.2886329545802</v>
      </c>
      <c r="AN39" s="155">
        <f t="shared" si="70"/>
        <v>1552.2886329545802</v>
      </c>
      <c r="AO39" s="155">
        <f t="shared" si="70"/>
        <v>1552.2886329545802</v>
      </c>
      <c r="AP39" s="155">
        <f t="shared" si="70"/>
        <v>1552.2886329545802</v>
      </c>
      <c r="AQ39" s="155">
        <f t="shared" si="70"/>
        <v>1552.2886329545802</v>
      </c>
      <c r="AR39" s="155">
        <f t="shared" si="70"/>
        <v>1552.2886329545802</v>
      </c>
      <c r="AS39" s="155">
        <f t="shared" si="70"/>
        <v>1552.2886329545802</v>
      </c>
      <c r="AT39" s="155">
        <f t="shared" si="70"/>
        <v>1599.9999999999998</v>
      </c>
      <c r="AU39" s="155">
        <f t="shared" si="70"/>
        <v>1599.9999999999998</v>
      </c>
      <c r="AV39" s="155">
        <f t="shared" si="70"/>
        <v>1599.9999999999998</v>
      </c>
      <c r="AW39" s="155">
        <f t="shared" si="70"/>
        <v>1599.9999999999998</v>
      </c>
      <c r="AX39" s="155">
        <f t="shared" si="70"/>
        <v>1599.9999999999998</v>
      </c>
      <c r="AY39" s="155">
        <f t="shared" si="70"/>
        <v>1599.9999999999998</v>
      </c>
      <c r="AZ39" s="155">
        <f t="shared" si="70"/>
        <v>1495.8689999999999</v>
      </c>
      <c r="BA39" s="155">
        <f t="shared" si="70"/>
        <v>1495.8689999999999</v>
      </c>
      <c r="BB39" s="155">
        <f t="shared" ref="BB39:CD39" si="71">IF(BB37="Vacant",0,IF(BB37="Downtime",$N$37*BB38*$C$37,BB38*$C$37))</f>
        <v>1495.8689999999999</v>
      </c>
      <c r="BC39" s="155">
        <f t="shared" si="71"/>
        <v>1495.8689999999999</v>
      </c>
      <c r="BD39" s="155">
        <f t="shared" si="71"/>
        <v>1495.8689999999999</v>
      </c>
      <c r="BE39" s="155">
        <f t="shared" si="71"/>
        <v>1495.8689999999999</v>
      </c>
      <c r="BF39" s="155">
        <f t="shared" si="71"/>
        <v>2054.3267599999999</v>
      </c>
      <c r="BG39" s="155">
        <f t="shared" si="71"/>
        <v>2054.3267599999999</v>
      </c>
      <c r="BH39" s="155">
        <f t="shared" si="71"/>
        <v>2054.3267599999999</v>
      </c>
      <c r="BI39" s="155">
        <f t="shared" si="71"/>
        <v>2054.3267599999999</v>
      </c>
      <c r="BJ39" s="155">
        <f t="shared" si="71"/>
        <v>2054.3267599999999</v>
      </c>
      <c r="BK39" s="155">
        <f t="shared" si="71"/>
        <v>2054.3267599999999</v>
      </c>
      <c r="BL39" s="155">
        <f t="shared" si="71"/>
        <v>2054.3267599999999</v>
      </c>
      <c r="BM39" s="155">
        <f t="shared" si="71"/>
        <v>2054.3267599999999</v>
      </c>
      <c r="BN39" s="155">
        <f t="shared" si="71"/>
        <v>2054.3267599999999</v>
      </c>
      <c r="BO39" s="155">
        <f t="shared" si="71"/>
        <v>2054.3267599999999</v>
      </c>
      <c r="BP39" s="155">
        <f t="shared" si="71"/>
        <v>2054.3267599999999</v>
      </c>
      <c r="BQ39" s="155">
        <f t="shared" si="71"/>
        <v>2054.3267599999999</v>
      </c>
      <c r="BR39" s="155">
        <f t="shared" si="71"/>
        <v>2115.9565628</v>
      </c>
      <c r="BS39" s="155">
        <f t="shared" si="71"/>
        <v>2115.9565628</v>
      </c>
      <c r="BT39" s="155">
        <f t="shared" si="71"/>
        <v>2115.9565628</v>
      </c>
      <c r="BU39" s="155">
        <f t="shared" si="71"/>
        <v>2115.9565628</v>
      </c>
      <c r="BV39" s="155">
        <f t="shared" si="71"/>
        <v>2115.9565628</v>
      </c>
      <c r="BW39" s="155">
        <f t="shared" si="71"/>
        <v>2115.9565628</v>
      </c>
      <c r="BX39" s="155">
        <f t="shared" si="71"/>
        <v>2115.9565628</v>
      </c>
      <c r="BY39" s="155">
        <f t="shared" si="71"/>
        <v>2115.9565628</v>
      </c>
      <c r="BZ39" s="155">
        <f t="shared" si="71"/>
        <v>2115.9565628</v>
      </c>
      <c r="CA39" s="155">
        <f t="shared" si="71"/>
        <v>2115.9565628</v>
      </c>
      <c r="CB39" s="155">
        <f t="shared" si="71"/>
        <v>2115.9565628</v>
      </c>
      <c r="CC39" s="155">
        <f t="shared" si="71"/>
        <v>2115.9565628</v>
      </c>
      <c r="CD39" s="155">
        <f t="shared" si="71"/>
        <v>2179.4352596839999</v>
      </c>
      <c r="CE39" s="156"/>
      <c r="CF39" s="156"/>
      <c r="CG39" s="156"/>
      <c r="CH39" s="156"/>
      <c r="CI39" s="156"/>
      <c r="CJ39" s="156"/>
      <c r="CK39" s="156"/>
      <c r="CL39" s="156"/>
      <c r="CM39" s="156"/>
      <c r="CN39" s="156"/>
      <c r="CO39" s="156"/>
      <c r="CP39" s="156"/>
      <c r="CQ39" s="156"/>
      <c r="CR39" s="156"/>
      <c r="CS39" s="156"/>
      <c r="CT39" s="156"/>
      <c r="CU39" s="156"/>
      <c r="CV39" s="156"/>
      <c r="CW39" s="156"/>
      <c r="CX39" s="156"/>
      <c r="CY39" s="156"/>
      <c r="CZ39" s="156"/>
      <c r="DA39" s="156"/>
      <c r="DB39" s="156"/>
      <c r="DC39" s="156"/>
      <c r="DD39" s="156"/>
      <c r="DE39" s="156"/>
      <c r="DF39" s="156"/>
      <c r="DG39" s="156"/>
      <c r="DH39" s="156"/>
      <c r="DI39" s="156"/>
      <c r="DJ39" s="156"/>
      <c r="DK39" s="156"/>
      <c r="DL39" s="156"/>
      <c r="DM39" s="156"/>
      <c r="DN39" s="156"/>
      <c r="DO39" s="156"/>
      <c r="DP39" s="156"/>
      <c r="DQ39" s="156"/>
      <c r="DR39" s="156"/>
      <c r="DS39" s="156"/>
      <c r="DT39" s="156"/>
      <c r="DU39" s="156"/>
      <c r="DV39" s="156"/>
      <c r="DW39" s="156"/>
      <c r="DX39" s="156"/>
      <c r="DY39" s="156"/>
      <c r="DZ39" s="156"/>
      <c r="EA39" s="156"/>
      <c r="EB39" s="156"/>
      <c r="EC39" s="156"/>
      <c r="ED39" s="156"/>
      <c r="EE39" s="156"/>
      <c r="EF39" s="156"/>
      <c r="EG39" s="156"/>
      <c r="EH39" s="156"/>
      <c r="EI39" s="156"/>
      <c r="EJ39" s="156"/>
      <c r="EK39" s="156"/>
    </row>
    <row r="40" spans="1:141" x14ac:dyDescent="0.2">
      <c r="J40" s="160"/>
      <c r="M40" s="167"/>
      <c r="N40" s="187"/>
      <c r="P40" s="167"/>
      <c r="Q40" s="167"/>
      <c r="R40" s="167"/>
      <c r="S40" s="167"/>
      <c r="V40" s="177"/>
    </row>
    <row r="41" spans="1:141" s="161" customFormat="1" ht="13.5" thickBot="1" x14ac:dyDescent="0.25">
      <c r="B41" s="161" t="s">
        <v>206</v>
      </c>
      <c r="J41" s="162">
        <f>AVERAGE(J4:J40)</f>
        <v>1</v>
      </c>
    </row>
    <row r="42" spans="1:141" x14ac:dyDescent="0.2">
      <c r="A42" s="150"/>
      <c r="B42" s="15" t="s">
        <v>207</v>
      </c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N42" s="150"/>
      <c r="O42" s="150"/>
      <c r="P42" s="150"/>
      <c r="Q42" s="150"/>
      <c r="R42" s="150"/>
      <c r="S42" s="150"/>
      <c r="T42" s="150"/>
      <c r="U42" s="172"/>
      <c r="V42" s="216">
        <f t="shared" ref="V42:BA42" si="72">IF(OR(V4="In-Term",V4="Relet"),$C$4,IF(V4="Downtime",$N$4*$C$4,0))+IF(OR(V7="In-Term",V7="Relet"),$C$7,IF(V7="Downtime",$N$7*$C$7,0))+IF(OR(V10="In-Term",V10="Relet"),$C$10,IF(V10="Downtime",$N$10*$C$10,0))+IF(OR(V13="In-Term",V13="Relet"),$C$13,IF(V13="Downtime",$N$13*$C$13,0))+IF(OR(V16="In-Term",V16="Relet"),$C$16,IF(V16="Downtime",$N$16*$C$16,0))+IF(OR(V19="In-Term",V19="Relet"),$C$19,IF(V19="Downtime",$N$19*$C$19,0))+IF(OR(V22="In-Term",V22="Relet"),$C$22,IF(V22="Downtime",$N$22*$C$22,0))+IF(OR(V25="In-Term",V25="Relet"),$C$25,IF(V25="Downtime",$N$25*$C$25,0))+IF(OR(V28="In-Term",V28="Relet"),$C$28,IF(V28="Downtime",$N$28*$C$28,0))+IF(OR(V31="In-Term",V31="Relet"),$C$31,IF(V31="Downtime",$N$31*$C$31,0))+IF(OR(V34="In-Term",V34="Relet"),$C$34,IF(V34="Downtime",$N$34*$C$34,0))+IF(OR(V37="In-Term",V37="Relet"),$C$37,IF(V37="Downtime",$N$37*$C$37,0))</f>
        <v>12485</v>
      </c>
      <c r="W42" s="217">
        <f t="shared" si="72"/>
        <v>12485</v>
      </c>
      <c r="X42" s="217">
        <f t="shared" si="72"/>
        <v>12485</v>
      </c>
      <c r="Y42" s="217">
        <f t="shared" si="72"/>
        <v>12485</v>
      </c>
      <c r="Z42" s="217">
        <f t="shared" si="72"/>
        <v>12485</v>
      </c>
      <c r="AA42" s="217">
        <f t="shared" si="72"/>
        <v>14745</v>
      </c>
      <c r="AB42" s="217">
        <f t="shared" si="72"/>
        <v>17880</v>
      </c>
      <c r="AC42" s="217">
        <f t="shared" si="72"/>
        <v>17880</v>
      </c>
      <c r="AD42" s="217">
        <f t="shared" si="72"/>
        <v>17880</v>
      </c>
      <c r="AE42" s="217">
        <f t="shared" si="72"/>
        <v>17880</v>
      </c>
      <c r="AF42" s="217">
        <f t="shared" si="72"/>
        <v>17880</v>
      </c>
      <c r="AG42" s="217">
        <f t="shared" si="72"/>
        <v>17880</v>
      </c>
      <c r="AH42" s="217">
        <f t="shared" si="72"/>
        <v>17880</v>
      </c>
      <c r="AI42" s="217">
        <f t="shared" si="72"/>
        <v>17880</v>
      </c>
      <c r="AJ42" s="217">
        <f t="shared" si="72"/>
        <v>17880</v>
      </c>
      <c r="AK42" s="217">
        <f t="shared" si="72"/>
        <v>17880</v>
      </c>
      <c r="AL42" s="217">
        <f t="shared" si="72"/>
        <v>17880</v>
      </c>
      <c r="AM42" s="217">
        <f t="shared" si="72"/>
        <v>17880</v>
      </c>
      <c r="AN42" s="217">
        <f t="shared" si="72"/>
        <v>17880</v>
      </c>
      <c r="AO42" s="217">
        <f t="shared" si="72"/>
        <v>17880</v>
      </c>
      <c r="AP42" s="217">
        <f t="shared" si="72"/>
        <v>17880</v>
      </c>
      <c r="AQ42" s="217">
        <f t="shared" si="72"/>
        <v>17880</v>
      </c>
      <c r="AR42" s="217">
        <f t="shared" si="72"/>
        <v>17880</v>
      </c>
      <c r="AS42" s="217">
        <f t="shared" si="72"/>
        <v>17880</v>
      </c>
      <c r="AT42" s="217">
        <f t="shared" si="72"/>
        <v>17880</v>
      </c>
      <c r="AU42" s="217">
        <f t="shared" si="72"/>
        <v>17880</v>
      </c>
      <c r="AV42" s="217">
        <f t="shared" si="72"/>
        <v>17880</v>
      </c>
      <c r="AW42" s="217">
        <f t="shared" si="72"/>
        <v>17880</v>
      </c>
      <c r="AX42" s="217">
        <f t="shared" si="72"/>
        <v>17880</v>
      </c>
      <c r="AY42" s="217">
        <f t="shared" si="72"/>
        <v>17880</v>
      </c>
      <c r="AZ42" s="217">
        <f t="shared" si="72"/>
        <v>17410</v>
      </c>
      <c r="BA42" s="217">
        <f t="shared" si="72"/>
        <v>17410</v>
      </c>
      <c r="BB42" s="217">
        <f t="shared" ref="BB42:CD42" si="73">IF(OR(BB4="In-Term",BB4="Relet"),$C$4,IF(BB4="Downtime",$N$4*$C$4,0))+IF(OR(BB7="In-Term",BB7="Relet"),$C$7,IF(BB7="Downtime",$N$7*$C$7,0))+IF(OR(BB10="In-Term",BB10="Relet"),$C$10,IF(BB10="Downtime",$N$10*$C$10,0))+IF(OR(BB13="In-Term",BB13="Relet"),$C$13,IF(BB13="Downtime",$N$13*$C$13,0))+IF(OR(BB16="In-Term",BB16="Relet"),$C$16,IF(BB16="Downtime",$N$16*$C$16,0))+IF(OR(BB19="In-Term",BB19="Relet"),$C$19,IF(BB19="Downtime",$N$19*$C$19,0))+IF(OR(BB22="In-Term",BB22="Relet"),$C$22,IF(BB22="Downtime",$N$22*$C$22,0))+IF(OR(BB25="In-Term",BB25="Relet"),$C$25,IF(BB25="Downtime",$N$25*$C$25,0))+IF(OR(BB28="In-Term",BB28="Relet"),$C$28,IF(BB28="Downtime",$N$28*$C$28,0))+IF(OR(BB31="In-Term",BB31="Relet"),$C$31,IF(BB31="Downtime",$N$31*$C$31,0))+IF(OR(BB34="In-Term",BB34="Relet"),$C$34,IF(BB34="Downtime",$N$34*$C$34,0))+IF(OR(BB37="In-Term",BB37="Relet"),$C$37,IF(BB37="Downtime",$N$37*$C$37,0))</f>
        <v>17410</v>
      </c>
      <c r="BC42" s="217">
        <f t="shared" si="73"/>
        <v>17410</v>
      </c>
      <c r="BD42" s="217">
        <f t="shared" si="73"/>
        <v>17410</v>
      </c>
      <c r="BE42" s="217">
        <f t="shared" si="73"/>
        <v>17207.5</v>
      </c>
      <c r="BF42" s="217">
        <f t="shared" si="73"/>
        <v>17677.5</v>
      </c>
      <c r="BG42" s="217">
        <f t="shared" si="73"/>
        <v>17677.5</v>
      </c>
      <c r="BH42" s="217">
        <f t="shared" si="73"/>
        <v>17677.5</v>
      </c>
      <c r="BI42" s="217">
        <f t="shared" si="73"/>
        <v>17677.5</v>
      </c>
      <c r="BJ42" s="217">
        <f t="shared" si="73"/>
        <v>17677.5</v>
      </c>
      <c r="BK42" s="217">
        <f t="shared" si="73"/>
        <v>17322.5</v>
      </c>
      <c r="BL42" s="217">
        <f t="shared" si="73"/>
        <v>17322.5</v>
      </c>
      <c r="BM42" s="217">
        <f t="shared" si="73"/>
        <v>17322.5</v>
      </c>
      <c r="BN42" s="217">
        <f t="shared" si="73"/>
        <v>17322.5</v>
      </c>
      <c r="BO42" s="217">
        <f t="shared" si="73"/>
        <v>17322.5</v>
      </c>
      <c r="BP42" s="217">
        <f t="shared" si="73"/>
        <v>17322.5</v>
      </c>
      <c r="BQ42" s="217">
        <f t="shared" si="73"/>
        <v>17880</v>
      </c>
      <c r="BR42" s="217">
        <f t="shared" si="73"/>
        <v>17880</v>
      </c>
      <c r="BS42" s="217">
        <f t="shared" si="73"/>
        <v>17880</v>
      </c>
      <c r="BT42" s="217">
        <f t="shared" si="73"/>
        <v>17880</v>
      </c>
      <c r="BU42" s="217">
        <f t="shared" si="73"/>
        <v>17880</v>
      </c>
      <c r="BV42" s="217">
        <f t="shared" si="73"/>
        <v>17880</v>
      </c>
      <c r="BW42" s="217">
        <f t="shared" si="73"/>
        <v>16975</v>
      </c>
      <c r="BX42" s="217">
        <f t="shared" si="73"/>
        <v>16975</v>
      </c>
      <c r="BY42" s="217">
        <f t="shared" si="73"/>
        <v>16975</v>
      </c>
      <c r="BZ42" s="217">
        <f t="shared" si="73"/>
        <v>16975</v>
      </c>
      <c r="CA42" s="217">
        <f t="shared" si="73"/>
        <v>16975</v>
      </c>
      <c r="CB42" s="217">
        <f t="shared" si="73"/>
        <v>16975</v>
      </c>
      <c r="CC42" s="217">
        <f t="shared" si="73"/>
        <v>17880</v>
      </c>
      <c r="CD42" s="213">
        <f t="shared" si="73"/>
        <v>17880</v>
      </c>
      <c r="CE42" s="163"/>
      <c r="CF42" s="163"/>
      <c r="CG42" s="163"/>
      <c r="CH42" s="163"/>
      <c r="CI42" s="163"/>
      <c r="CJ42" s="163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3"/>
      <c r="CZ42" s="163"/>
      <c r="DA42" s="163"/>
      <c r="DB42" s="163"/>
      <c r="DC42" s="163"/>
      <c r="DD42" s="163"/>
      <c r="DE42" s="163"/>
      <c r="DF42" s="163"/>
      <c r="DG42" s="163"/>
      <c r="DH42" s="163"/>
      <c r="DI42" s="163"/>
      <c r="DJ42" s="163"/>
      <c r="DK42" s="163"/>
      <c r="DL42" s="163"/>
      <c r="DM42" s="163"/>
      <c r="DN42" s="163"/>
      <c r="DO42" s="163"/>
      <c r="DP42" s="163"/>
      <c r="DQ42" s="163"/>
      <c r="DR42" s="163"/>
      <c r="DS42" s="163"/>
      <c r="DT42" s="163"/>
      <c r="DU42" s="163"/>
      <c r="DV42" s="163"/>
      <c r="DW42" s="163"/>
      <c r="DX42" s="163"/>
      <c r="DY42" s="163"/>
      <c r="DZ42" s="163"/>
      <c r="EA42" s="163"/>
      <c r="EB42" s="163"/>
      <c r="EC42" s="163"/>
      <c r="ED42" s="163"/>
      <c r="EE42" s="163"/>
      <c r="EF42" s="163"/>
      <c r="EG42" s="163"/>
      <c r="EH42" s="163"/>
      <c r="EI42" s="163"/>
      <c r="EJ42" s="163"/>
      <c r="EK42" s="163"/>
    </row>
    <row r="43" spans="1:141" ht="13.5" thickBot="1" x14ac:dyDescent="0.25">
      <c r="A43" s="150"/>
      <c r="B43" s="197" t="s">
        <v>208</v>
      </c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N43" s="198"/>
      <c r="O43" s="198"/>
      <c r="P43" s="198"/>
      <c r="Q43" s="198"/>
      <c r="R43" s="198"/>
      <c r="S43" s="198"/>
      <c r="T43" s="198"/>
      <c r="U43" s="199"/>
      <c r="V43" s="218">
        <f t="shared" ref="V43:BA43" si="74">V42/NRA</f>
        <v>0.6982662192393736</v>
      </c>
      <c r="W43" s="219">
        <f t="shared" si="74"/>
        <v>0.6982662192393736</v>
      </c>
      <c r="X43" s="219">
        <f t="shared" si="74"/>
        <v>0.6982662192393736</v>
      </c>
      <c r="Y43" s="219">
        <f t="shared" si="74"/>
        <v>0.6982662192393736</v>
      </c>
      <c r="Z43" s="219">
        <f t="shared" si="74"/>
        <v>0.6982662192393736</v>
      </c>
      <c r="AA43" s="219">
        <f t="shared" si="74"/>
        <v>0.82466442953020136</v>
      </c>
      <c r="AB43" s="219">
        <f t="shared" si="74"/>
        <v>1</v>
      </c>
      <c r="AC43" s="219">
        <f t="shared" si="74"/>
        <v>1</v>
      </c>
      <c r="AD43" s="219">
        <f t="shared" si="74"/>
        <v>1</v>
      </c>
      <c r="AE43" s="219">
        <f t="shared" si="74"/>
        <v>1</v>
      </c>
      <c r="AF43" s="219">
        <f t="shared" si="74"/>
        <v>1</v>
      </c>
      <c r="AG43" s="219">
        <f t="shared" si="74"/>
        <v>1</v>
      </c>
      <c r="AH43" s="219">
        <f t="shared" si="74"/>
        <v>1</v>
      </c>
      <c r="AI43" s="219">
        <f t="shared" si="74"/>
        <v>1</v>
      </c>
      <c r="AJ43" s="219">
        <f t="shared" si="74"/>
        <v>1</v>
      </c>
      <c r="AK43" s="219">
        <f t="shared" si="74"/>
        <v>1</v>
      </c>
      <c r="AL43" s="219">
        <f t="shared" si="74"/>
        <v>1</v>
      </c>
      <c r="AM43" s="219">
        <f t="shared" si="74"/>
        <v>1</v>
      </c>
      <c r="AN43" s="219">
        <f t="shared" si="74"/>
        <v>1</v>
      </c>
      <c r="AO43" s="219">
        <f t="shared" si="74"/>
        <v>1</v>
      </c>
      <c r="AP43" s="219">
        <f t="shared" si="74"/>
        <v>1</v>
      </c>
      <c r="AQ43" s="219">
        <f t="shared" si="74"/>
        <v>1</v>
      </c>
      <c r="AR43" s="219">
        <f t="shared" si="74"/>
        <v>1</v>
      </c>
      <c r="AS43" s="219">
        <f t="shared" si="74"/>
        <v>1</v>
      </c>
      <c r="AT43" s="219">
        <f t="shared" si="74"/>
        <v>1</v>
      </c>
      <c r="AU43" s="219">
        <f t="shared" si="74"/>
        <v>1</v>
      </c>
      <c r="AV43" s="219">
        <f t="shared" si="74"/>
        <v>1</v>
      </c>
      <c r="AW43" s="219">
        <f t="shared" si="74"/>
        <v>1</v>
      </c>
      <c r="AX43" s="219">
        <f t="shared" si="74"/>
        <v>1</v>
      </c>
      <c r="AY43" s="219">
        <f t="shared" si="74"/>
        <v>1</v>
      </c>
      <c r="AZ43" s="219">
        <f t="shared" si="74"/>
        <v>0.97371364653243853</v>
      </c>
      <c r="BA43" s="219">
        <f t="shared" si="74"/>
        <v>0.97371364653243853</v>
      </c>
      <c r="BB43" s="219">
        <f t="shared" ref="BB43:CD43" si="75">BB42/NRA</f>
        <v>0.97371364653243853</v>
      </c>
      <c r="BC43" s="219">
        <f t="shared" si="75"/>
        <v>0.97371364653243853</v>
      </c>
      <c r="BD43" s="219">
        <f t="shared" si="75"/>
        <v>0.97371364653243853</v>
      </c>
      <c r="BE43" s="219">
        <f t="shared" si="75"/>
        <v>0.96238814317673382</v>
      </c>
      <c r="BF43" s="219">
        <f t="shared" si="75"/>
        <v>0.9886744966442953</v>
      </c>
      <c r="BG43" s="219">
        <f t="shared" si="75"/>
        <v>0.9886744966442953</v>
      </c>
      <c r="BH43" s="219">
        <f t="shared" si="75"/>
        <v>0.9886744966442953</v>
      </c>
      <c r="BI43" s="219">
        <f t="shared" si="75"/>
        <v>0.9886744966442953</v>
      </c>
      <c r="BJ43" s="219">
        <f t="shared" si="75"/>
        <v>0.9886744966442953</v>
      </c>
      <c r="BK43" s="219">
        <f t="shared" si="75"/>
        <v>0.96881991051454142</v>
      </c>
      <c r="BL43" s="219">
        <f t="shared" si="75"/>
        <v>0.96881991051454142</v>
      </c>
      <c r="BM43" s="219">
        <f t="shared" si="75"/>
        <v>0.96881991051454142</v>
      </c>
      <c r="BN43" s="219">
        <f t="shared" si="75"/>
        <v>0.96881991051454142</v>
      </c>
      <c r="BO43" s="219">
        <f t="shared" si="75"/>
        <v>0.96881991051454142</v>
      </c>
      <c r="BP43" s="219">
        <f t="shared" si="75"/>
        <v>0.96881991051454142</v>
      </c>
      <c r="BQ43" s="219">
        <f t="shared" si="75"/>
        <v>1</v>
      </c>
      <c r="BR43" s="219">
        <f t="shared" si="75"/>
        <v>1</v>
      </c>
      <c r="BS43" s="219">
        <f t="shared" si="75"/>
        <v>1</v>
      </c>
      <c r="BT43" s="219">
        <f t="shared" si="75"/>
        <v>1</v>
      </c>
      <c r="BU43" s="219">
        <f t="shared" si="75"/>
        <v>1</v>
      </c>
      <c r="BV43" s="219">
        <f t="shared" si="75"/>
        <v>1</v>
      </c>
      <c r="BW43" s="219">
        <f t="shared" si="75"/>
        <v>0.94938478747203581</v>
      </c>
      <c r="BX43" s="219">
        <f t="shared" si="75"/>
        <v>0.94938478747203581</v>
      </c>
      <c r="BY43" s="219">
        <f t="shared" si="75"/>
        <v>0.94938478747203581</v>
      </c>
      <c r="BZ43" s="219">
        <f t="shared" si="75"/>
        <v>0.94938478747203581</v>
      </c>
      <c r="CA43" s="219">
        <f t="shared" si="75"/>
        <v>0.94938478747203581</v>
      </c>
      <c r="CB43" s="219">
        <f t="shared" si="75"/>
        <v>0.94938478747203581</v>
      </c>
      <c r="CC43" s="219">
        <f t="shared" si="75"/>
        <v>1</v>
      </c>
      <c r="CD43" s="215">
        <f t="shared" si="75"/>
        <v>1</v>
      </c>
      <c r="CE43" s="164"/>
      <c r="CF43" s="164"/>
      <c r="CG43" s="164"/>
      <c r="CH43" s="164"/>
      <c r="CI43" s="164"/>
      <c r="CJ43" s="164"/>
      <c r="CK43" s="164"/>
      <c r="CL43" s="164"/>
      <c r="CM43" s="164"/>
      <c r="CN43" s="164"/>
      <c r="CO43" s="164"/>
      <c r="CP43" s="164"/>
      <c r="CQ43" s="164"/>
      <c r="CR43" s="164"/>
      <c r="CS43" s="164"/>
      <c r="CT43" s="164"/>
      <c r="CU43" s="164"/>
      <c r="CV43" s="164"/>
      <c r="CW43" s="164"/>
      <c r="CX43" s="164"/>
      <c r="CY43" s="164"/>
      <c r="CZ43" s="164"/>
      <c r="DA43" s="164"/>
      <c r="DB43" s="164"/>
      <c r="DC43" s="164"/>
      <c r="DD43" s="164"/>
      <c r="DE43" s="164"/>
      <c r="DF43" s="164"/>
      <c r="DG43" s="164"/>
      <c r="DH43" s="164"/>
      <c r="DI43" s="164"/>
      <c r="DJ43" s="164"/>
      <c r="DK43" s="164"/>
      <c r="DL43" s="164"/>
      <c r="DM43" s="164"/>
      <c r="DN43" s="164"/>
      <c r="DO43" s="164"/>
      <c r="DP43" s="164"/>
      <c r="DQ43" s="164"/>
      <c r="DR43" s="164"/>
      <c r="DS43" s="164"/>
      <c r="DT43" s="164"/>
      <c r="DU43" s="164"/>
      <c r="DV43" s="164"/>
      <c r="DW43" s="164"/>
      <c r="DX43" s="164"/>
      <c r="DY43" s="164"/>
      <c r="DZ43" s="164"/>
      <c r="EA43" s="164"/>
      <c r="EB43" s="164"/>
      <c r="EC43" s="164"/>
      <c r="ED43" s="164"/>
      <c r="EE43" s="164"/>
      <c r="EF43" s="164"/>
      <c r="EG43" s="164"/>
      <c r="EH43" s="164"/>
      <c r="EI43" s="164"/>
      <c r="EJ43" s="164"/>
      <c r="EK43" s="164"/>
    </row>
    <row r="44" spans="1:141" x14ac:dyDescent="0.2">
      <c r="A44" s="172"/>
      <c r="B44" s="200" t="s">
        <v>209</v>
      </c>
      <c r="C44" s="201"/>
      <c r="D44" s="201"/>
      <c r="E44" s="201"/>
      <c r="F44" s="201"/>
      <c r="G44" s="201"/>
      <c r="H44" s="201"/>
      <c r="I44" s="201"/>
      <c r="J44" s="201"/>
      <c r="K44" s="201"/>
      <c r="L44" s="201"/>
      <c r="M44" s="202"/>
      <c r="N44" s="201"/>
      <c r="O44" s="201"/>
      <c r="P44" s="201"/>
      <c r="Q44" s="201"/>
      <c r="R44" s="201"/>
      <c r="S44" s="201"/>
      <c r="T44" s="201"/>
      <c r="U44" s="203"/>
      <c r="V44" s="204">
        <f t="shared" ref="V44:BA44" si="76">V6+V9+V12+V15+V18+V21+V24+V27+V30+V33+V36+V39</f>
        <v>14111.5</v>
      </c>
      <c r="W44" s="205">
        <f t="shared" si="76"/>
        <v>14111.5</v>
      </c>
      <c r="X44" s="205">
        <f t="shared" si="76"/>
        <v>14111.5</v>
      </c>
      <c r="Y44" s="205">
        <f t="shared" si="76"/>
        <v>14111.5</v>
      </c>
      <c r="Z44" s="205">
        <f t="shared" si="76"/>
        <v>14111.5</v>
      </c>
      <c r="AA44" s="205">
        <f t="shared" si="76"/>
        <v>16371.5</v>
      </c>
      <c r="AB44" s="205">
        <f t="shared" si="76"/>
        <v>19014</v>
      </c>
      <c r="AC44" s="205">
        <f t="shared" si="76"/>
        <v>19014</v>
      </c>
      <c r="AD44" s="205">
        <f t="shared" si="76"/>
        <v>19014</v>
      </c>
      <c r="AE44" s="205">
        <f t="shared" si="76"/>
        <v>19014</v>
      </c>
      <c r="AF44" s="205">
        <f t="shared" si="76"/>
        <v>19014</v>
      </c>
      <c r="AG44" s="205">
        <f t="shared" si="76"/>
        <v>19014</v>
      </c>
      <c r="AH44" s="205">
        <f t="shared" si="76"/>
        <v>19504.52961825431</v>
      </c>
      <c r="AI44" s="205">
        <f t="shared" si="76"/>
        <v>19504.52961825431</v>
      </c>
      <c r="AJ44" s="205">
        <f t="shared" si="76"/>
        <v>19504.52961825431</v>
      </c>
      <c r="AK44" s="205">
        <f t="shared" si="76"/>
        <v>19504.52961825431</v>
      </c>
      <c r="AL44" s="205">
        <f t="shared" si="76"/>
        <v>19504.52961825431</v>
      </c>
      <c r="AM44" s="205">
        <f t="shared" si="76"/>
        <v>19504.52961825431</v>
      </c>
      <c r="AN44" s="205">
        <f t="shared" si="76"/>
        <v>19504.52961825431</v>
      </c>
      <c r="AO44" s="205">
        <f t="shared" si="76"/>
        <v>19504.52961825431</v>
      </c>
      <c r="AP44" s="205">
        <f t="shared" si="76"/>
        <v>19504.52961825431</v>
      </c>
      <c r="AQ44" s="205">
        <f t="shared" si="76"/>
        <v>19504.52961825431</v>
      </c>
      <c r="AR44" s="205">
        <f t="shared" si="76"/>
        <v>19504.52961825431</v>
      </c>
      <c r="AS44" s="205">
        <f t="shared" si="76"/>
        <v>19504.52961825431</v>
      </c>
      <c r="AT44" s="205">
        <f t="shared" si="76"/>
        <v>20008.201857538945</v>
      </c>
      <c r="AU44" s="205">
        <f t="shared" si="76"/>
        <v>20008.201857538945</v>
      </c>
      <c r="AV44" s="205">
        <f t="shared" si="76"/>
        <v>20008.201857538945</v>
      </c>
      <c r="AW44" s="205">
        <f t="shared" si="76"/>
        <v>20008.201857538945</v>
      </c>
      <c r="AX44" s="205">
        <f t="shared" si="76"/>
        <v>20008.201857538945</v>
      </c>
      <c r="AY44" s="205">
        <f t="shared" si="76"/>
        <v>20008.201857538945</v>
      </c>
      <c r="AZ44" s="205">
        <f t="shared" si="76"/>
        <v>19904.070857538944</v>
      </c>
      <c r="BA44" s="205">
        <f t="shared" si="76"/>
        <v>19904.070857538944</v>
      </c>
      <c r="BB44" s="205">
        <f t="shared" ref="BB44:CD44" si="77">BB6+BB9+BB12+BB15+BB18+BB21+BB24+BB27+BB30+BB33+BB36+BB39</f>
        <v>19904.070857538944</v>
      </c>
      <c r="BC44" s="205">
        <f t="shared" si="77"/>
        <v>19904.070857538944</v>
      </c>
      <c r="BD44" s="205">
        <f t="shared" si="77"/>
        <v>19904.070857538944</v>
      </c>
      <c r="BE44" s="205">
        <f t="shared" si="77"/>
        <v>19739.81001878238</v>
      </c>
      <c r="BF44" s="205">
        <f t="shared" si="77"/>
        <v>20765.498699157433</v>
      </c>
      <c r="BG44" s="205">
        <f t="shared" si="77"/>
        <v>20765.498699157433</v>
      </c>
      <c r="BH44" s="205">
        <f t="shared" si="77"/>
        <v>20765.498699157433</v>
      </c>
      <c r="BI44" s="205">
        <f t="shared" si="77"/>
        <v>20765.498699157433</v>
      </c>
      <c r="BJ44" s="205">
        <f t="shared" si="77"/>
        <v>20765.498699157433</v>
      </c>
      <c r="BK44" s="205">
        <f t="shared" si="77"/>
        <v>20379.012517192423</v>
      </c>
      <c r="BL44" s="205">
        <f t="shared" si="77"/>
        <v>20379.012517192423</v>
      </c>
      <c r="BM44" s="205">
        <f t="shared" si="77"/>
        <v>20379.012517192423</v>
      </c>
      <c r="BN44" s="205">
        <f t="shared" si="77"/>
        <v>20379.012517192423</v>
      </c>
      <c r="BO44" s="205">
        <f t="shared" si="77"/>
        <v>20379.012517192423</v>
      </c>
      <c r="BP44" s="205">
        <f t="shared" si="77"/>
        <v>20379.012517192423</v>
      </c>
      <c r="BQ44" s="205">
        <f t="shared" si="77"/>
        <v>20988.207819692427</v>
      </c>
      <c r="BR44" s="205">
        <f t="shared" si="77"/>
        <v>21561.674877345213</v>
      </c>
      <c r="BS44" s="205">
        <f t="shared" si="77"/>
        <v>21561.674877345213</v>
      </c>
      <c r="BT44" s="205">
        <f t="shared" si="77"/>
        <v>21561.674877345213</v>
      </c>
      <c r="BU44" s="205">
        <f t="shared" si="77"/>
        <v>21561.674877345213</v>
      </c>
      <c r="BV44" s="205">
        <f t="shared" si="77"/>
        <v>21561.674877345213</v>
      </c>
      <c r="BW44" s="205">
        <f t="shared" si="77"/>
        <v>19105.512049749996</v>
      </c>
      <c r="BX44" s="205">
        <f t="shared" si="77"/>
        <v>19105.512049749996</v>
      </c>
      <c r="BY44" s="205">
        <f t="shared" si="77"/>
        <v>19105.512049749996</v>
      </c>
      <c r="BZ44" s="205">
        <f t="shared" si="77"/>
        <v>19105.512049749996</v>
      </c>
      <c r="CA44" s="205">
        <f t="shared" si="77"/>
        <v>19105.512049749996</v>
      </c>
      <c r="CB44" s="205">
        <f t="shared" si="77"/>
        <v>19105.512049749996</v>
      </c>
      <c r="CC44" s="205">
        <f t="shared" si="77"/>
        <v>20124.097522799995</v>
      </c>
      <c r="CD44" s="206">
        <f t="shared" si="77"/>
        <v>20727.820448483999</v>
      </c>
      <c r="CE44" s="165"/>
      <c r="CF44" s="165"/>
      <c r="CG44" s="165"/>
      <c r="CH44" s="165"/>
      <c r="CI44" s="165"/>
      <c r="CJ44" s="165"/>
      <c r="CK44" s="165"/>
      <c r="CL44" s="165"/>
      <c r="CM44" s="165"/>
      <c r="CN44" s="165"/>
      <c r="CO44" s="165"/>
      <c r="CP44" s="165"/>
      <c r="CQ44" s="165"/>
      <c r="CR44" s="165"/>
      <c r="CS44" s="165"/>
      <c r="CT44" s="165"/>
      <c r="CU44" s="165"/>
      <c r="CV44" s="165"/>
      <c r="CW44" s="165"/>
      <c r="CX44" s="165"/>
      <c r="CY44" s="165"/>
      <c r="CZ44" s="165"/>
      <c r="DA44" s="165"/>
      <c r="DB44" s="165"/>
      <c r="DC44" s="165"/>
      <c r="DD44" s="165"/>
      <c r="DE44" s="165"/>
      <c r="DF44" s="165"/>
      <c r="DG44" s="165"/>
      <c r="DH44" s="165"/>
      <c r="DI44" s="165"/>
      <c r="DJ44" s="165"/>
      <c r="DK44" s="165"/>
      <c r="DL44" s="165"/>
      <c r="DM44" s="165"/>
      <c r="DN44" s="165"/>
      <c r="DO44" s="165"/>
      <c r="DP44" s="165"/>
      <c r="DQ44" s="165"/>
      <c r="DR44" s="165"/>
      <c r="DS44" s="165"/>
      <c r="DT44" s="165"/>
      <c r="DU44" s="165"/>
      <c r="DV44" s="165"/>
      <c r="DW44" s="165"/>
      <c r="DX44" s="165"/>
      <c r="DY44" s="165"/>
      <c r="DZ44" s="165"/>
      <c r="EA44" s="165"/>
      <c r="EB44" s="165"/>
      <c r="EC44" s="165"/>
      <c r="ED44" s="165"/>
      <c r="EE44" s="165"/>
      <c r="EF44" s="165"/>
      <c r="EG44" s="165"/>
      <c r="EH44" s="165"/>
      <c r="EI44" s="165"/>
      <c r="EJ44" s="165"/>
      <c r="EK44" s="165"/>
    </row>
    <row r="45" spans="1:141" ht="13.5" thickBot="1" x14ac:dyDescent="0.25">
      <c r="A45" s="172"/>
      <c r="B45" s="207" t="s">
        <v>6</v>
      </c>
      <c r="C45" s="208"/>
      <c r="D45" s="208"/>
      <c r="E45" s="208"/>
      <c r="F45" s="208"/>
      <c r="G45" s="208"/>
      <c r="H45" s="208"/>
      <c r="I45" s="208"/>
      <c r="J45" s="208"/>
      <c r="K45" s="208"/>
      <c r="L45" s="208"/>
      <c r="M45" s="209"/>
      <c r="N45" s="208"/>
      <c r="O45" s="208"/>
      <c r="P45" s="208"/>
      <c r="Q45" s="208"/>
      <c r="R45" s="208"/>
      <c r="S45" s="208"/>
      <c r="T45" s="208"/>
      <c r="U45" s="210"/>
      <c r="V45" s="211">
        <f>V47 * 'Monthly CF'!C20</f>
        <v>10950.015801081283</v>
      </c>
      <c r="W45" s="211">
        <f>W47 * 'Monthly CF'!D20</f>
        <v>10967.421926191644</v>
      </c>
      <c r="X45" s="211">
        <f>X47 * 'Monthly CF'!E20</f>
        <v>10984.856798932775</v>
      </c>
      <c r="Y45" s="211">
        <f>Y47 * 'Monthly CF'!F20</f>
        <v>11002.320466783727</v>
      </c>
      <c r="Z45" s="211">
        <f>Z47 * 'Monthly CF'!G20</f>
        <v>11019.812977301965</v>
      </c>
      <c r="AA45" s="211">
        <f>AA47 * 'Monthly CF'!H20</f>
        <v>13106.10415200749</v>
      </c>
      <c r="AB45" s="211">
        <f>AB47 * 'Monthly CF'!I20</f>
        <v>16018.20038560662</v>
      </c>
      <c r="AC45" s="211">
        <f>AC47 * 'Monthly CF'!J20</f>
        <v>16043.376062399539</v>
      </c>
      <c r="AD45" s="211">
        <f>AD47 * 'Monthly CF'!K20</f>
        <v>16068.593318869511</v>
      </c>
      <c r="AE45" s="211">
        <f>AE47 * 'Monthly CF'!L20</f>
        <v>16093.852223688755</v>
      </c>
      <c r="AF45" s="211">
        <f>AF47 * 'Monthly CF'!M20</f>
        <v>16119.152845642904</v>
      </c>
      <c r="AG45" s="211">
        <f>AG47 * 'Monthly CF'!N20</f>
        <v>16144.495253631201</v>
      </c>
      <c r="AH45" s="211">
        <f>AH47 * 'Monthly CF'!O20</f>
        <v>16188.51964216034</v>
      </c>
      <c r="AI45" s="211">
        <f>AI47 * 'Monthly CF'!P20</f>
        <v>16213.945829370008</v>
      </c>
      <c r="AJ45" s="211">
        <f>AJ47 * 'Monthly CF'!Q20</f>
        <v>16239.414009995051</v>
      </c>
      <c r="AK45" s="211">
        <f>AK47 * 'Monthly CF'!R20</f>
        <v>16264.924253391007</v>
      </c>
      <c r="AL45" s="211">
        <f>AL47 * 'Monthly CF'!S20</f>
        <v>16290.476629027964</v>
      </c>
      <c r="AM45" s="211">
        <f>AM47 * 'Monthly CF'!T20</f>
        <v>16316.071206490742</v>
      </c>
      <c r="AN45" s="211">
        <f>AN47 * 'Monthly CF'!U20</f>
        <v>16341.708055479088</v>
      </c>
      <c r="AO45" s="211">
        <f>AO47 * 'Monthly CF'!V20</f>
        <v>16367.387245807864</v>
      </c>
      <c r="AP45" s="211">
        <f>AP47 * 'Monthly CF'!W20</f>
        <v>16393.108847407238</v>
      </c>
      <c r="AQ45" s="211">
        <f>AQ47 * 'Monthly CF'!X20</f>
        <v>16418.872930322865</v>
      </c>
      <c r="AR45" s="211">
        <f>AR47 * 'Monthly CF'!Y20</f>
        <v>16444.679564716098</v>
      </c>
      <c r="AS45" s="211">
        <f>AS47 * 'Monthly CF'!Z20</f>
        <v>16470.528820864161</v>
      </c>
      <c r="AT45" s="211">
        <f>AT47 * 'Monthly CF'!AA20</f>
        <v>16515.560314253162</v>
      </c>
      <c r="AU45" s="211">
        <f>AU47 * 'Monthly CF'!AB20</f>
        <v>16541.495025207023</v>
      </c>
      <c r="AV45" s="211">
        <f>AV47 * 'Monthly CF'!AC20</f>
        <v>16567.472569444566</v>
      </c>
      <c r="AW45" s="211">
        <f>AW47 * 'Monthly CF'!AD20</f>
        <v>16593.493017708442</v>
      </c>
      <c r="AX45" s="211">
        <f>AX47 * 'Monthly CF'!AE20</f>
        <v>16619.556440858141</v>
      </c>
      <c r="AY45" s="211">
        <f>AY47 * 'Monthly CF'!AF20</f>
        <v>16645.662909870174</v>
      </c>
      <c r="AZ45" s="211">
        <f>AZ47 * 'Monthly CF'!AG20</f>
        <v>16229.718376150146</v>
      </c>
      <c r="BA45" s="211">
        <f>BA47 * 'Monthly CF'!AH20</f>
        <v>16255.222637766283</v>
      </c>
      <c r="BB45" s="211">
        <f>BB47 * 'Monthly CF'!AI20</f>
        <v>16280.769021744019</v>
      </c>
      <c r="BC45" s="211">
        <f>BC47 * 'Monthly CF'!AJ20</f>
        <v>16306.35759765187</v>
      </c>
      <c r="BD45" s="211">
        <f>BD47 * 'Monthly CF'!AK20</f>
        <v>16331.988435173227</v>
      </c>
      <c r="BE45" s="211">
        <f>BE47 * 'Monthly CF'!AL20</f>
        <v>16161.394469318959</v>
      </c>
      <c r="BF45" s="211">
        <f>BF47 * 'Monthly CF'!AM20</f>
        <v>16667.466914881254</v>
      </c>
      <c r="BG45" s="211">
        <f>BG47 * 'Monthly CF'!AN20</f>
        <v>16693.620721925137</v>
      </c>
      <c r="BH45" s="211">
        <f>BH47 * 'Monthly CF'!AO20</f>
        <v>16719.81772410771</v>
      </c>
      <c r="BI45" s="211">
        <f>BI47 * 'Monthly CF'!AP20</f>
        <v>16746.057992769252</v>
      </c>
      <c r="BJ45" s="211">
        <f>BJ47 * 'Monthly CF'!AQ20</f>
        <v>16772.341599367872</v>
      </c>
      <c r="BK45" s="211">
        <f>BK47 * 'Monthly CF'!AR20</f>
        <v>16447.088780154067</v>
      </c>
      <c r="BL45" s="211">
        <f>BL47 * 'Monthly CF'!AS20</f>
        <v>16472.929704482438</v>
      </c>
      <c r="BM45" s="211">
        <f>BM47 * 'Monthly CF'!AT20</f>
        <v>16498.813307198256</v>
      </c>
      <c r="BN45" s="211">
        <f>BN47 * 'Monthly CF'!AU20</f>
        <v>16524.739658788345</v>
      </c>
      <c r="BO45" s="211">
        <f>BO47 * 'Monthly CF'!AV20</f>
        <v>16550.70882985595</v>
      </c>
      <c r="BP45" s="211">
        <f>BP47 * 'Monthly CF'!AW20</f>
        <v>16576.720891120916</v>
      </c>
      <c r="BQ45" s="211">
        <f>BQ47 * 'Monthly CF'!AX20</f>
        <v>17160.262039878467</v>
      </c>
      <c r="BR45" s="211">
        <f>BR47 * 'Monthly CF'!AY20</f>
        <v>17208.991771076624</v>
      </c>
      <c r="BS45" s="211">
        <f>BS47 * 'Monthly CF'!AZ20</f>
        <v>17235.974244353023</v>
      </c>
      <c r="BT45" s="211">
        <f>BT47 * 'Monthly CF'!BA20</f>
        <v>17263.001281377761</v>
      </c>
      <c r="BU45" s="211">
        <f>BU47 * 'Monthly CF'!BB20</f>
        <v>17290.072955751497</v>
      </c>
      <c r="BV45" s="211">
        <f>BV47 * 'Monthly CF'!BC20</f>
        <v>17317.189341196441</v>
      </c>
      <c r="BW45" s="211">
        <f>BW47 * 'Monthly CF'!BD20</f>
        <v>16377.85246653984</v>
      </c>
      <c r="BX45" s="211">
        <f>BX47 * 'Monthly CF'!BE20</f>
        <v>16403.681456828977</v>
      </c>
      <c r="BY45" s="211">
        <f>BY47 * 'Monthly CF'!BF20</f>
        <v>16429.553105795523</v>
      </c>
      <c r="BZ45" s="211">
        <f>BZ47 * 'Monthly CF'!BG20</f>
        <v>16455.467483893757</v>
      </c>
      <c r="CA45" s="211">
        <f>CA47 * 'Monthly CF'!BH20</f>
        <v>16481.424661694302</v>
      </c>
      <c r="CB45" s="211">
        <f>CB47 * 'Monthly CF'!BI20</f>
        <v>16507.424709884359</v>
      </c>
      <c r="CC45" s="211">
        <f>CC47 * 'Monthly CF'!BJ20</f>
        <v>17453.634228117829</v>
      </c>
      <c r="CD45" s="211">
        <f>CD47 * 'Monthly CF'!BK20</f>
        <v>0</v>
      </c>
      <c r="CE45" s="165"/>
      <c r="CF45" s="165"/>
      <c r="CG45" s="165"/>
      <c r="CH45" s="165"/>
      <c r="CI45" s="165"/>
      <c r="CJ45" s="165"/>
      <c r="CK45" s="165"/>
      <c r="CL45" s="165"/>
      <c r="CM45" s="165"/>
      <c r="CN45" s="165"/>
      <c r="CO45" s="165"/>
      <c r="CP45" s="165"/>
      <c r="CQ45" s="165"/>
      <c r="CR45" s="165"/>
      <c r="CS45" s="165"/>
      <c r="CT45" s="165"/>
      <c r="CU45" s="165"/>
      <c r="CV45" s="165"/>
      <c r="CW45" s="165"/>
      <c r="CX45" s="165"/>
      <c r="CY45" s="165"/>
      <c r="CZ45" s="165"/>
      <c r="DA45" s="165"/>
      <c r="DB45" s="165"/>
      <c r="DC45" s="165"/>
      <c r="DD45" s="165"/>
      <c r="DE45" s="165"/>
      <c r="DF45" s="165"/>
      <c r="DG45" s="165"/>
      <c r="DH45" s="165"/>
      <c r="DI45" s="165"/>
      <c r="DJ45" s="165"/>
      <c r="DK45" s="165"/>
      <c r="DL45" s="165"/>
      <c r="DM45" s="165"/>
      <c r="DN45" s="165"/>
      <c r="DO45" s="165"/>
      <c r="DP45" s="165"/>
      <c r="DQ45" s="165"/>
      <c r="DR45" s="165"/>
      <c r="DS45" s="165"/>
      <c r="DT45" s="165"/>
      <c r="DU45" s="165"/>
      <c r="DV45" s="165"/>
      <c r="DW45" s="165"/>
      <c r="DX45" s="165"/>
      <c r="DY45" s="165"/>
      <c r="DZ45" s="165"/>
      <c r="EA45" s="165"/>
      <c r="EB45" s="165"/>
      <c r="EC45" s="165"/>
      <c r="ED45" s="165"/>
      <c r="EE45" s="165"/>
      <c r="EF45" s="165"/>
      <c r="EG45" s="165"/>
      <c r="EH45" s="165"/>
      <c r="EI45" s="165"/>
      <c r="EJ45" s="165"/>
      <c r="EK45" s="165"/>
    </row>
    <row r="46" spans="1:141" x14ac:dyDescent="0.2">
      <c r="B46" s="166" t="s">
        <v>210</v>
      </c>
      <c r="V46" s="212">
        <f t="shared" ref="V46:BA46" si="78">IF($E$4="NNN",IF(OR(V4="In-Term",V4="Relet"),$C$4,IF(V4="Downtime",$N$4*$C$4,0)),IF($T$4="Y",IF(V4="Relet",$C$4,IF(V4="Downtime",$N$4*$C$4,0)),0))+IF($E$7="NNN",IF(OR(V7="In-Term",V7="Relet"),$C$7,IF(V7="Downtime",$N$7*$C$7,0)),IF($T$7="Y",IF(V7="Relet",$C$7,IF(V7="Downtime",$N$7*$C$7,0)),0))+IF($E$10="NNN",IF(OR(V10="In-Term",V10="Relet"),$C$10,IF(V10="Downtime",$N$10*$C$10,0)),IF($T$10="Y",IF(V10="Relet",$C$10,IF(V10="Downtime",$N$10*$C$10,0)),0))+IF($E$13="NNN",IF(OR(V13="In-Term",V13="Relet"),$C$13,IF(V13="Downtime",$N$13*$C$13,0)),IF($T$13="Y",IF(V13="Relet",$C$13,IF(V13="Downtime",$N$13*$C$13,0)),0))+IF($E$16="NNN",IF(OR(V16="In-Term",V16="Relet"),$C$16,IF(V16="Downtime",$N$16*$C$16,0)),IF($T$16="Y",IF(V16="Relet",$C$16,IF(V16="Downtime",$N$16*$C$16,0)),0))+IF($E$19="NNN",IF(OR(V19="In-Term",V19="Relet"),$C$19,IF(V19="Downtime",$N$19*$C$19,0)),IF($T$19="Y",IF(V19="Relet",$C$19,IF(V19="Downtime",$N$19*$C$19,0)),0))+IF($E$22="NNN",IF(OR(V22="In-Term",V22="Relet"),$C$22,IF(V22="Downtime",$N$22*$C$22,0)),IF($T$22="Y",IF(V22="Relet",$C$22,IF(V22="Downtime",$N$22*$C$22,0)),0))+IF($E$25="NNN",IF(OR(V25="In-Term",V25="Relet"),$C$25,IF(V25="Downtime",$N$25*$C$25,0)),IF($T$25="Y",IF(V25="Relet",$C$25,IF(V25="Downtime",$N$25*$C$25,0)),0))+IF($E$28="NNN",IF(OR(V28="In-Term",V28="Relet"),$C$28,IF(V28="Downtime",$N$28*$C$28,0)),IF($T$28="Y",IF(V28="Relet",$C$28,IF(V28="Downtime",$N$28*$C$28,0)),0))+IF($E$31="NNN",IF(OR(V31="In-Term",V31="Relet"),$C$31,IF(V31="Downtime",$N$31*$C$31,0)),IF($T$31="Y",IF(V31="Relet",$C$31,IF(V31="Downtime",$N$31*$C$31,0)),0))+IF($E$34="NNN",IF(OR(V34="In-Term",V34="Relet"),$C$34,IF(V34="Downtime",$N$34*$C$34,0)),IF($T$34="Y",IF(V34="Relet",$C$34,IF(V34="Downtime",$N$34*$C$34,0)),0))+IF($E$37="NNN",IF(OR(V37="In-Term",V37="Relet"),$C$37,IF(V37="Downtime",$N$37*$C$37,0)),IF($T$37="Y",IF(V37="Relet",$C$37,IF(V37="Downtime",$N$37*$C$37,0)),0))</f>
        <v>12485</v>
      </c>
      <c r="W46" s="213">
        <f t="shared" si="78"/>
        <v>12485</v>
      </c>
      <c r="X46" s="213">
        <f t="shared" si="78"/>
        <v>12485</v>
      </c>
      <c r="Y46" s="213">
        <f t="shared" si="78"/>
        <v>12485</v>
      </c>
      <c r="Z46" s="213">
        <f t="shared" si="78"/>
        <v>12485</v>
      </c>
      <c r="AA46" s="213">
        <f t="shared" si="78"/>
        <v>14745</v>
      </c>
      <c r="AB46" s="213">
        <f t="shared" si="78"/>
        <v>17880</v>
      </c>
      <c r="AC46" s="213">
        <f t="shared" si="78"/>
        <v>17880</v>
      </c>
      <c r="AD46" s="213">
        <f t="shared" si="78"/>
        <v>17880</v>
      </c>
      <c r="AE46" s="213">
        <f t="shared" si="78"/>
        <v>17880</v>
      </c>
      <c r="AF46" s="213">
        <f t="shared" si="78"/>
        <v>17880</v>
      </c>
      <c r="AG46" s="213">
        <f t="shared" si="78"/>
        <v>17880</v>
      </c>
      <c r="AH46" s="213">
        <f t="shared" si="78"/>
        <v>17880</v>
      </c>
      <c r="AI46" s="213">
        <f t="shared" si="78"/>
        <v>17880</v>
      </c>
      <c r="AJ46" s="213">
        <f t="shared" si="78"/>
        <v>17880</v>
      </c>
      <c r="AK46" s="213">
        <f t="shared" si="78"/>
        <v>17880</v>
      </c>
      <c r="AL46" s="213">
        <f t="shared" si="78"/>
        <v>17880</v>
      </c>
      <c r="AM46" s="213">
        <f t="shared" si="78"/>
        <v>17880</v>
      </c>
      <c r="AN46" s="213">
        <f t="shared" si="78"/>
        <v>17880</v>
      </c>
      <c r="AO46" s="213">
        <f t="shared" si="78"/>
        <v>17880</v>
      </c>
      <c r="AP46" s="213">
        <f t="shared" si="78"/>
        <v>17880</v>
      </c>
      <c r="AQ46" s="213">
        <f t="shared" si="78"/>
        <v>17880</v>
      </c>
      <c r="AR46" s="213">
        <f t="shared" si="78"/>
        <v>17880</v>
      </c>
      <c r="AS46" s="213">
        <f t="shared" si="78"/>
        <v>17880</v>
      </c>
      <c r="AT46" s="213">
        <f t="shared" si="78"/>
        <v>17880</v>
      </c>
      <c r="AU46" s="213">
        <f t="shared" si="78"/>
        <v>17880</v>
      </c>
      <c r="AV46" s="213">
        <f t="shared" si="78"/>
        <v>17880</v>
      </c>
      <c r="AW46" s="213">
        <f t="shared" si="78"/>
        <v>17880</v>
      </c>
      <c r="AX46" s="213">
        <f t="shared" si="78"/>
        <v>17880</v>
      </c>
      <c r="AY46" s="213">
        <f t="shared" si="78"/>
        <v>17880</v>
      </c>
      <c r="AZ46" s="213">
        <f t="shared" si="78"/>
        <v>17410</v>
      </c>
      <c r="BA46" s="213">
        <f t="shared" si="78"/>
        <v>17410</v>
      </c>
      <c r="BB46" s="213">
        <f t="shared" ref="BB46:CD46" si="79">IF($E$4="NNN",IF(OR(BB4="In-Term",BB4="Relet"),$C$4,IF(BB4="Downtime",$N$4*$C$4,0)),IF($T$4="Y",IF(BB4="Relet",$C$4,IF(BB4="Downtime",$N$4*$C$4,0)),0))+IF($E$7="NNN",IF(OR(BB7="In-Term",BB7="Relet"),$C$7,IF(BB7="Downtime",$N$7*$C$7,0)),IF($T$7="Y",IF(BB7="Relet",$C$7,IF(BB7="Downtime",$N$7*$C$7,0)),0))+IF($E$10="NNN",IF(OR(BB10="In-Term",BB10="Relet"),$C$10,IF(BB10="Downtime",$N$10*$C$10,0)),IF($T$10="Y",IF(BB10="Relet",$C$10,IF(BB10="Downtime",$N$10*$C$10,0)),0))+IF($E$13="NNN",IF(OR(BB13="In-Term",BB13="Relet"),$C$13,IF(BB13="Downtime",$N$13*$C$13,0)),IF($T$13="Y",IF(BB13="Relet",$C$13,IF(BB13="Downtime",$N$13*$C$13,0)),0))+IF($E$16="NNN",IF(OR(BB16="In-Term",BB16="Relet"),$C$16,IF(BB16="Downtime",$N$16*$C$16,0)),IF($T$16="Y",IF(BB16="Relet",$C$16,IF(BB16="Downtime",$N$16*$C$16,0)),0))+IF($E$19="NNN",IF(OR(BB19="In-Term",BB19="Relet"),$C$19,IF(BB19="Downtime",$N$19*$C$19,0)),IF($T$19="Y",IF(BB19="Relet",$C$19,IF(BB19="Downtime",$N$19*$C$19,0)),0))+IF($E$22="NNN",IF(OR(BB22="In-Term",BB22="Relet"),$C$22,IF(BB22="Downtime",$N$22*$C$22,0)),IF($T$22="Y",IF(BB22="Relet",$C$22,IF(BB22="Downtime",$N$22*$C$22,0)),0))+IF($E$25="NNN",IF(OR(BB25="In-Term",BB25="Relet"),$C$25,IF(BB25="Downtime",$N$25*$C$25,0)),IF($T$25="Y",IF(BB25="Relet",$C$25,IF(BB25="Downtime",$N$25*$C$25,0)),0))+IF($E$28="NNN",IF(OR(BB28="In-Term",BB28="Relet"),$C$28,IF(BB28="Downtime",$N$28*$C$28,0)),IF($T$28="Y",IF(BB28="Relet",$C$28,IF(BB28="Downtime",$N$28*$C$28,0)),0))+IF($E$31="NNN",IF(OR(BB31="In-Term",BB31="Relet"),$C$31,IF(BB31="Downtime",$N$31*$C$31,0)),IF($T$31="Y",IF(BB31="Relet",$C$31,IF(BB31="Downtime",$N$31*$C$31,0)),0))+IF($E$34="NNN",IF(OR(BB34="In-Term",BB34="Relet"),$C$34,IF(BB34="Downtime",$N$34*$C$34,0)),IF($T$34="Y",IF(BB34="Relet",$C$34,IF(BB34="Downtime",$N$34*$C$34,0)),0))+IF($E$37="NNN",IF(OR(BB37="In-Term",BB37="Relet"),$C$37,IF(BB37="Downtime",$N$37*$C$37,0)),IF($T$37="Y",IF(BB37="Relet",$C$37,IF(BB37="Downtime",$N$37*$C$37,0)),0))</f>
        <v>17410</v>
      </c>
      <c r="BC46" s="213">
        <f t="shared" si="79"/>
        <v>17410</v>
      </c>
      <c r="BD46" s="213">
        <f t="shared" si="79"/>
        <v>17410</v>
      </c>
      <c r="BE46" s="213">
        <f t="shared" si="79"/>
        <v>17207.5</v>
      </c>
      <c r="BF46" s="213">
        <f t="shared" si="79"/>
        <v>17677.5</v>
      </c>
      <c r="BG46" s="213">
        <f t="shared" si="79"/>
        <v>17677.5</v>
      </c>
      <c r="BH46" s="213">
        <f t="shared" si="79"/>
        <v>17677.5</v>
      </c>
      <c r="BI46" s="213">
        <f t="shared" si="79"/>
        <v>17677.5</v>
      </c>
      <c r="BJ46" s="213">
        <f t="shared" si="79"/>
        <v>17677.5</v>
      </c>
      <c r="BK46" s="213">
        <f t="shared" si="79"/>
        <v>17322.5</v>
      </c>
      <c r="BL46" s="213">
        <f t="shared" si="79"/>
        <v>17322.5</v>
      </c>
      <c r="BM46" s="213">
        <f t="shared" si="79"/>
        <v>17322.5</v>
      </c>
      <c r="BN46" s="213">
        <f t="shared" si="79"/>
        <v>17322.5</v>
      </c>
      <c r="BO46" s="213">
        <f t="shared" si="79"/>
        <v>17322.5</v>
      </c>
      <c r="BP46" s="213">
        <f t="shared" si="79"/>
        <v>17322.5</v>
      </c>
      <c r="BQ46" s="213">
        <f t="shared" si="79"/>
        <v>17880</v>
      </c>
      <c r="BR46" s="213">
        <f t="shared" si="79"/>
        <v>17880</v>
      </c>
      <c r="BS46" s="213">
        <f t="shared" si="79"/>
        <v>17880</v>
      </c>
      <c r="BT46" s="213">
        <f t="shared" si="79"/>
        <v>17880</v>
      </c>
      <c r="BU46" s="213">
        <f t="shared" si="79"/>
        <v>17880</v>
      </c>
      <c r="BV46" s="213">
        <f t="shared" si="79"/>
        <v>17880</v>
      </c>
      <c r="BW46" s="213">
        <f t="shared" si="79"/>
        <v>16975</v>
      </c>
      <c r="BX46" s="213">
        <f t="shared" si="79"/>
        <v>16975</v>
      </c>
      <c r="BY46" s="213">
        <f t="shared" si="79"/>
        <v>16975</v>
      </c>
      <c r="BZ46" s="213">
        <f t="shared" si="79"/>
        <v>16975</v>
      </c>
      <c r="CA46" s="213">
        <f t="shared" si="79"/>
        <v>16975</v>
      </c>
      <c r="CB46" s="213">
        <f t="shared" si="79"/>
        <v>16975</v>
      </c>
      <c r="CC46" s="213">
        <f t="shared" si="79"/>
        <v>17880</v>
      </c>
      <c r="CD46" s="213">
        <f t="shared" si="79"/>
        <v>17880</v>
      </c>
    </row>
    <row r="47" spans="1:141" x14ac:dyDescent="0.2">
      <c r="B47" s="166" t="s">
        <v>211</v>
      </c>
      <c r="V47" s="214">
        <f t="shared" ref="V47:BA47" si="80">V46/NRA</f>
        <v>0.6982662192393736</v>
      </c>
      <c r="W47" s="215">
        <f t="shared" si="80"/>
        <v>0.6982662192393736</v>
      </c>
      <c r="X47" s="215">
        <f t="shared" si="80"/>
        <v>0.6982662192393736</v>
      </c>
      <c r="Y47" s="215">
        <f t="shared" si="80"/>
        <v>0.6982662192393736</v>
      </c>
      <c r="Z47" s="215">
        <f t="shared" si="80"/>
        <v>0.6982662192393736</v>
      </c>
      <c r="AA47" s="215">
        <f t="shared" si="80"/>
        <v>0.82466442953020136</v>
      </c>
      <c r="AB47" s="215">
        <f t="shared" si="80"/>
        <v>1</v>
      </c>
      <c r="AC47" s="215">
        <f t="shared" si="80"/>
        <v>1</v>
      </c>
      <c r="AD47" s="215">
        <f t="shared" si="80"/>
        <v>1</v>
      </c>
      <c r="AE47" s="215">
        <f t="shared" si="80"/>
        <v>1</v>
      </c>
      <c r="AF47" s="215">
        <f t="shared" si="80"/>
        <v>1</v>
      </c>
      <c r="AG47" s="215">
        <f t="shared" si="80"/>
        <v>1</v>
      </c>
      <c r="AH47" s="215">
        <f t="shared" si="80"/>
        <v>1</v>
      </c>
      <c r="AI47" s="215">
        <f t="shared" si="80"/>
        <v>1</v>
      </c>
      <c r="AJ47" s="215">
        <f t="shared" si="80"/>
        <v>1</v>
      </c>
      <c r="AK47" s="215">
        <f t="shared" si="80"/>
        <v>1</v>
      </c>
      <c r="AL47" s="215">
        <f t="shared" si="80"/>
        <v>1</v>
      </c>
      <c r="AM47" s="215">
        <f t="shared" si="80"/>
        <v>1</v>
      </c>
      <c r="AN47" s="215">
        <f t="shared" si="80"/>
        <v>1</v>
      </c>
      <c r="AO47" s="215">
        <f t="shared" si="80"/>
        <v>1</v>
      </c>
      <c r="AP47" s="215">
        <f t="shared" si="80"/>
        <v>1</v>
      </c>
      <c r="AQ47" s="215">
        <f t="shared" si="80"/>
        <v>1</v>
      </c>
      <c r="AR47" s="215">
        <f t="shared" si="80"/>
        <v>1</v>
      </c>
      <c r="AS47" s="215">
        <f t="shared" si="80"/>
        <v>1</v>
      </c>
      <c r="AT47" s="215">
        <f t="shared" si="80"/>
        <v>1</v>
      </c>
      <c r="AU47" s="215">
        <f t="shared" si="80"/>
        <v>1</v>
      </c>
      <c r="AV47" s="215">
        <f t="shared" si="80"/>
        <v>1</v>
      </c>
      <c r="AW47" s="215">
        <f t="shared" si="80"/>
        <v>1</v>
      </c>
      <c r="AX47" s="215">
        <f t="shared" si="80"/>
        <v>1</v>
      </c>
      <c r="AY47" s="215">
        <f t="shared" si="80"/>
        <v>1</v>
      </c>
      <c r="AZ47" s="215">
        <f t="shared" si="80"/>
        <v>0.97371364653243853</v>
      </c>
      <c r="BA47" s="215">
        <f t="shared" si="80"/>
        <v>0.97371364653243853</v>
      </c>
      <c r="BB47" s="215">
        <f t="shared" ref="BB47:CD47" si="81">BB46/NRA</f>
        <v>0.97371364653243853</v>
      </c>
      <c r="BC47" s="215">
        <f t="shared" si="81"/>
        <v>0.97371364653243853</v>
      </c>
      <c r="BD47" s="215">
        <f t="shared" si="81"/>
        <v>0.97371364653243853</v>
      </c>
      <c r="BE47" s="215">
        <f t="shared" si="81"/>
        <v>0.96238814317673382</v>
      </c>
      <c r="BF47" s="215">
        <f t="shared" si="81"/>
        <v>0.9886744966442953</v>
      </c>
      <c r="BG47" s="215">
        <f t="shared" si="81"/>
        <v>0.9886744966442953</v>
      </c>
      <c r="BH47" s="215">
        <f t="shared" si="81"/>
        <v>0.9886744966442953</v>
      </c>
      <c r="BI47" s="215">
        <f t="shared" si="81"/>
        <v>0.9886744966442953</v>
      </c>
      <c r="BJ47" s="215">
        <f t="shared" si="81"/>
        <v>0.9886744966442953</v>
      </c>
      <c r="BK47" s="215">
        <f t="shared" si="81"/>
        <v>0.96881991051454142</v>
      </c>
      <c r="BL47" s="215">
        <f t="shared" si="81"/>
        <v>0.96881991051454142</v>
      </c>
      <c r="BM47" s="215">
        <f t="shared" si="81"/>
        <v>0.96881991051454142</v>
      </c>
      <c r="BN47" s="215">
        <f t="shared" si="81"/>
        <v>0.96881991051454142</v>
      </c>
      <c r="BO47" s="215">
        <f t="shared" si="81"/>
        <v>0.96881991051454142</v>
      </c>
      <c r="BP47" s="215">
        <f t="shared" si="81"/>
        <v>0.96881991051454142</v>
      </c>
      <c r="BQ47" s="215">
        <f t="shared" si="81"/>
        <v>1</v>
      </c>
      <c r="BR47" s="215">
        <f t="shared" si="81"/>
        <v>1</v>
      </c>
      <c r="BS47" s="215">
        <f t="shared" si="81"/>
        <v>1</v>
      </c>
      <c r="BT47" s="215">
        <f t="shared" si="81"/>
        <v>1</v>
      </c>
      <c r="BU47" s="215">
        <f t="shared" si="81"/>
        <v>1</v>
      </c>
      <c r="BV47" s="215">
        <f t="shared" si="81"/>
        <v>1</v>
      </c>
      <c r="BW47" s="215">
        <f t="shared" si="81"/>
        <v>0.94938478747203581</v>
      </c>
      <c r="BX47" s="215">
        <f t="shared" si="81"/>
        <v>0.94938478747203581</v>
      </c>
      <c r="BY47" s="215">
        <f t="shared" si="81"/>
        <v>0.94938478747203581</v>
      </c>
      <c r="BZ47" s="215">
        <f t="shared" si="81"/>
        <v>0.94938478747203581</v>
      </c>
      <c r="CA47" s="215">
        <f t="shared" si="81"/>
        <v>0.94938478747203581</v>
      </c>
      <c r="CB47" s="215">
        <f t="shared" si="81"/>
        <v>0.94938478747203581</v>
      </c>
      <c r="CC47" s="215">
        <f t="shared" si="81"/>
        <v>1</v>
      </c>
      <c r="CD47" s="215">
        <f t="shared" si="81"/>
        <v>1</v>
      </c>
    </row>
    <row r="48" spans="1:141" x14ac:dyDescent="0.2">
      <c r="U48" s="232" t="s">
        <v>293</v>
      </c>
      <c r="V48" s="233">
        <f>V45 / V46</f>
        <v>0.87705372856077557</v>
      </c>
      <c r="W48" s="233">
        <f t="shared" ref="W48:CD48" si="82">W45 / W46</f>
        <v>0.87844789156520975</v>
      </c>
      <c r="X48" s="233">
        <f t="shared" si="82"/>
        <v>0.87984435714319387</v>
      </c>
      <c r="Y48" s="233">
        <f t="shared" si="82"/>
        <v>0.88124312909761526</v>
      </c>
      <c r="Z48" s="233">
        <f t="shared" si="82"/>
        <v>0.88264421123764236</v>
      </c>
      <c r="AA48" s="233">
        <f t="shared" si="82"/>
        <v>0.88885073936978576</v>
      </c>
      <c r="AB48" s="233">
        <f t="shared" si="82"/>
        <v>0.89587250478784231</v>
      </c>
      <c r="AC48" s="233">
        <f t="shared" si="82"/>
        <v>0.89728054040265881</v>
      </c>
      <c r="AD48" s="233">
        <f t="shared" si="82"/>
        <v>0.89869090150276909</v>
      </c>
      <c r="AE48" s="233">
        <f t="shared" si="82"/>
        <v>0.90010359192890133</v>
      </c>
      <c r="AF48" s="233">
        <f t="shared" si="82"/>
        <v>0.90151861552812662</v>
      </c>
      <c r="AG48" s="233">
        <f t="shared" si="82"/>
        <v>0.90293597615387033</v>
      </c>
      <c r="AH48" s="233">
        <f t="shared" si="82"/>
        <v>0.90539819027742396</v>
      </c>
      <c r="AI48" s="233">
        <f t="shared" si="82"/>
        <v>0.90682023654194677</v>
      </c>
      <c r="AJ48" s="233">
        <f t="shared" si="82"/>
        <v>0.90824463143149059</v>
      </c>
      <c r="AK48" s="233">
        <f t="shared" si="82"/>
        <v>0.90967137882500038</v>
      </c>
      <c r="AL48" s="233">
        <f t="shared" si="82"/>
        <v>0.91110048260782794</v>
      </c>
      <c r="AM48" s="233">
        <f t="shared" si="82"/>
        <v>0.91253194667174176</v>
      </c>
      <c r="AN48" s="233">
        <f t="shared" si="82"/>
        <v>0.9139657749149378</v>
      </c>
      <c r="AO48" s="233">
        <f t="shared" si="82"/>
        <v>0.91540197124205058</v>
      </c>
      <c r="AP48" s="233">
        <f t="shared" si="82"/>
        <v>0.91684053956416323</v>
      </c>
      <c r="AQ48" s="233">
        <f t="shared" si="82"/>
        <v>0.91828148379881791</v>
      </c>
      <c r="AR48" s="233">
        <f t="shared" si="82"/>
        <v>0.91972480787002786</v>
      </c>
      <c r="AS48" s="233">
        <f t="shared" si="82"/>
        <v>0.92117051570828645</v>
      </c>
      <c r="AT48" s="233">
        <f t="shared" si="82"/>
        <v>0.9236890556070001</v>
      </c>
      <c r="AU48" s="233">
        <f t="shared" si="82"/>
        <v>0.92513954279681332</v>
      </c>
      <c r="AV48" s="233">
        <f t="shared" si="82"/>
        <v>0.92659242558414801</v>
      </c>
      <c r="AW48" s="233">
        <f t="shared" si="82"/>
        <v>0.92804770792552815</v>
      </c>
      <c r="AX48" s="233">
        <f t="shared" si="82"/>
        <v>0.92950539378401242</v>
      </c>
      <c r="AY48" s="233">
        <f t="shared" si="82"/>
        <v>0.93096548712920435</v>
      </c>
      <c r="AZ48" s="233">
        <f t="shared" si="82"/>
        <v>0.93220668444285726</v>
      </c>
      <c r="BA48" s="233">
        <f t="shared" si="82"/>
        <v>0.93367160469651256</v>
      </c>
      <c r="BB48" s="233">
        <f t="shared" si="82"/>
        <v>0.93513894438506717</v>
      </c>
      <c r="BC48" s="233">
        <f t="shared" si="82"/>
        <v>0.93660870750441527</v>
      </c>
      <c r="BD48" s="233">
        <f t="shared" si="82"/>
        <v>0.9380808980570492</v>
      </c>
      <c r="BE48" s="233">
        <f t="shared" si="82"/>
        <v>0.93920641983547637</v>
      </c>
      <c r="BF48" s="233">
        <f t="shared" si="82"/>
        <v>0.94286335256010489</v>
      </c>
      <c r="BG48" s="233">
        <f t="shared" si="82"/>
        <v>0.9443428494937145</v>
      </c>
      <c r="BH48" s="233">
        <f t="shared" si="82"/>
        <v>0.94582478993679597</v>
      </c>
      <c r="BI48" s="233">
        <f t="shared" si="82"/>
        <v>0.94730917792500369</v>
      </c>
      <c r="BJ48" s="233">
        <f t="shared" si="82"/>
        <v>0.94879601750065745</v>
      </c>
      <c r="BK48" s="233">
        <f t="shared" si="82"/>
        <v>0.9494639214982864</v>
      </c>
      <c r="BL48" s="233">
        <f t="shared" si="82"/>
        <v>0.95095567640250755</v>
      </c>
      <c r="BM48" s="233">
        <f t="shared" si="82"/>
        <v>0.95244989506123567</v>
      </c>
      <c r="BN48" s="233">
        <f t="shared" si="82"/>
        <v>0.9539465815435616</v>
      </c>
      <c r="BO48" s="233">
        <f t="shared" si="82"/>
        <v>0.95544573992529658</v>
      </c>
      <c r="BP48" s="233">
        <f t="shared" si="82"/>
        <v>0.95694737428898347</v>
      </c>
      <c r="BQ48" s="233">
        <f t="shared" si="82"/>
        <v>0.95974619909834824</v>
      </c>
      <c r="BR48" s="233">
        <f t="shared" si="82"/>
        <v>0.96247157556356955</v>
      </c>
      <c r="BS48" s="233">
        <f t="shared" si="82"/>
        <v>0.96398066243585145</v>
      </c>
      <c r="BT48" s="233">
        <f t="shared" si="82"/>
        <v>0.96549224168779424</v>
      </c>
      <c r="BU48" s="233">
        <f t="shared" si="82"/>
        <v>0.96700631743576604</v>
      </c>
      <c r="BV48" s="233">
        <f t="shared" si="82"/>
        <v>0.96852289380293299</v>
      </c>
      <c r="BW48" s="233">
        <f t="shared" si="82"/>
        <v>0.96482194206420269</v>
      </c>
      <c r="BX48" s="233">
        <f t="shared" si="82"/>
        <v>0.96634353206650825</v>
      </c>
      <c r="BY48" s="233">
        <f t="shared" si="82"/>
        <v>0.96786763509841078</v>
      </c>
      <c r="BZ48" s="233">
        <f t="shared" si="82"/>
        <v>0.96939425531038337</v>
      </c>
      <c r="CA48" s="233">
        <f t="shared" si="82"/>
        <v>0.97092339685975271</v>
      </c>
      <c r="CB48" s="233">
        <f t="shared" si="82"/>
        <v>0.97245506391071335</v>
      </c>
      <c r="CC48" s="233">
        <f t="shared" si="82"/>
        <v>0.97615403960390545</v>
      </c>
      <c r="CD48" s="233">
        <f t="shared" si="82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N26"/>
  <sheetViews>
    <sheetView tabSelected="1" zoomScaleNormal="100" workbookViewId="0">
      <pane ySplit="4" topLeftCell="A5" activePane="bottomLeft" state="frozen"/>
      <selection pane="bottomLeft" activeCell="C27" sqref="C27"/>
    </sheetView>
  </sheetViews>
  <sheetFormatPr defaultColWidth="8.7109375" defaultRowHeight="15" x14ac:dyDescent="0.25"/>
  <cols>
    <col min="1" max="1" width="14" customWidth="1"/>
    <col min="2" max="2" width="22" customWidth="1"/>
    <col min="3" max="4" width="10" customWidth="1"/>
    <col min="5" max="7" width="14" customWidth="1"/>
    <col min="8" max="8" width="12" customWidth="1"/>
    <col min="9" max="11" width="14" customWidth="1"/>
    <col min="12" max="12" width="12" customWidth="1"/>
    <col min="13" max="13" width="22" customWidth="1"/>
  </cols>
  <sheetData>
    <row r="1" spans="1:14" ht="15.75" customHeight="1" x14ac:dyDescent="0.25">
      <c r="A1" s="234" t="s">
        <v>118</v>
      </c>
      <c r="B1" s="234"/>
      <c r="C1" s="234"/>
      <c r="D1" s="234"/>
      <c r="E1" s="234"/>
      <c r="F1" s="234"/>
      <c r="G1" s="234"/>
      <c r="H1" s="234"/>
      <c r="I1" s="234"/>
    </row>
    <row r="2" spans="1:14" x14ac:dyDescent="0.25">
      <c r="A2" s="73" t="s">
        <v>119</v>
      </c>
    </row>
    <row r="4" spans="1:14" ht="26.25" customHeight="1" x14ac:dyDescent="0.25">
      <c r="A4" s="74" t="s">
        <v>120</v>
      </c>
      <c r="B4" s="74" t="s">
        <v>121</v>
      </c>
      <c r="C4" s="74" t="s">
        <v>122</v>
      </c>
      <c r="D4" s="74" t="s">
        <v>123</v>
      </c>
      <c r="E4" s="74" t="s">
        <v>124</v>
      </c>
      <c r="F4" s="74" t="s">
        <v>125</v>
      </c>
      <c r="G4" s="74" t="s">
        <v>126</v>
      </c>
      <c r="H4" s="74" t="s">
        <v>127</v>
      </c>
      <c r="I4" s="75" t="s">
        <v>128</v>
      </c>
      <c r="J4" s="76" t="s">
        <v>129</v>
      </c>
      <c r="K4" s="76" t="s">
        <v>130</v>
      </c>
      <c r="L4" s="76" t="s">
        <v>131</v>
      </c>
      <c r="M4" s="76" t="s">
        <v>132</v>
      </c>
    </row>
    <row r="5" spans="1:14" x14ac:dyDescent="0.25">
      <c r="A5" s="60" t="s">
        <v>133</v>
      </c>
      <c r="B5" s="60" t="s">
        <v>134</v>
      </c>
      <c r="C5" s="42">
        <v>2230</v>
      </c>
      <c r="D5" s="60" t="s">
        <v>135</v>
      </c>
      <c r="E5" s="77">
        <v>45444</v>
      </c>
      <c r="F5" s="77">
        <v>47392</v>
      </c>
      <c r="G5" s="78">
        <f t="shared" ref="G5:G16" si="0">IFERROR(I5/C5,0)</f>
        <v>1.0304932735426009</v>
      </c>
      <c r="H5" s="63">
        <f t="shared" ref="H5:H16" si="1">IFERROR(IF(OR(J5="",K5=""),0,((K5/C5)/G5)^(12/MAX(1,DATEDIF(E5,J5,"M")))-1),0)</f>
        <v>1.9538771056290427E-2</v>
      </c>
      <c r="I5" s="56">
        <v>2298</v>
      </c>
      <c r="J5" s="77">
        <v>47027</v>
      </c>
      <c r="K5" s="56">
        <v>2499</v>
      </c>
      <c r="L5" s="79">
        <f t="shared" ref="L5:L16" si="2">IFERROR(K5/C5,"")</f>
        <v>1.1206278026905829</v>
      </c>
      <c r="M5" s="60"/>
    </row>
    <row r="6" spans="1:14" x14ac:dyDescent="0.25">
      <c r="A6" s="80" t="s">
        <v>136</v>
      </c>
      <c r="B6" s="80" t="s">
        <v>137</v>
      </c>
      <c r="C6" s="81">
        <v>910</v>
      </c>
      <c r="D6" s="80" t="s">
        <v>135</v>
      </c>
      <c r="E6" s="80"/>
      <c r="F6" s="80"/>
      <c r="G6" s="82">
        <f t="shared" si="0"/>
        <v>0.9</v>
      </c>
      <c r="H6" s="83">
        <f t="shared" si="1"/>
        <v>4.3150430604299572E-4</v>
      </c>
      <c r="I6" s="84">
        <v>819</v>
      </c>
      <c r="J6" s="85">
        <v>46266</v>
      </c>
      <c r="K6" s="84">
        <v>865</v>
      </c>
      <c r="L6" s="86">
        <f t="shared" si="2"/>
        <v>0.9505494505494505</v>
      </c>
      <c r="M6" s="80" t="s">
        <v>138</v>
      </c>
      <c r="N6" s="61"/>
    </row>
    <row r="7" spans="1:14" x14ac:dyDescent="0.25">
      <c r="A7" s="60" t="s">
        <v>139</v>
      </c>
      <c r="B7" s="60" t="s">
        <v>140</v>
      </c>
      <c r="C7" s="42">
        <v>3620</v>
      </c>
      <c r="D7" s="60" t="s">
        <v>135</v>
      </c>
      <c r="E7" s="77">
        <v>45962</v>
      </c>
      <c r="F7" s="77">
        <v>47787</v>
      </c>
      <c r="G7" s="78">
        <f t="shared" si="0"/>
        <v>1.4088397790055249</v>
      </c>
      <c r="H7" s="63">
        <f t="shared" si="1"/>
        <v>1.9607843137254832E-2</v>
      </c>
      <c r="I7" s="56">
        <v>5100</v>
      </c>
      <c r="J7" s="77">
        <v>46327</v>
      </c>
      <c r="K7" s="56">
        <v>5200</v>
      </c>
      <c r="L7" s="79">
        <f t="shared" si="2"/>
        <v>1.4364640883977902</v>
      </c>
      <c r="M7" s="60"/>
    </row>
    <row r="8" spans="1:14" x14ac:dyDescent="0.25">
      <c r="A8" s="80" t="s">
        <v>141</v>
      </c>
      <c r="B8" s="80" t="s">
        <v>142</v>
      </c>
      <c r="C8" s="81">
        <v>1990</v>
      </c>
      <c r="D8" s="80" t="s">
        <v>135</v>
      </c>
      <c r="E8" s="87" t="s">
        <v>143</v>
      </c>
      <c r="F8" s="88" t="s">
        <v>143</v>
      </c>
      <c r="G8" s="82">
        <f t="shared" si="0"/>
        <v>1.5075376884422111</v>
      </c>
      <c r="H8" s="83">
        <f t="shared" si="1"/>
        <v>0</v>
      </c>
      <c r="I8" s="84">
        <v>3000</v>
      </c>
      <c r="J8" s="80"/>
      <c r="K8" s="80"/>
      <c r="L8" s="86">
        <f t="shared" si="2"/>
        <v>0</v>
      </c>
      <c r="M8" s="80"/>
    </row>
    <row r="9" spans="1:14" x14ac:dyDescent="0.25">
      <c r="A9" s="60" t="s">
        <v>144</v>
      </c>
      <c r="B9" s="60" t="s">
        <v>145</v>
      </c>
      <c r="C9" s="42">
        <v>810</v>
      </c>
      <c r="D9" s="60" t="s">
        <v>135</v>
      </c>
      <c r="E9" s="77">
        <v>46054</v>
      </c>
      <c r="F9" s="77">
        <v>47238</v>
      </c>
      <c r="G9" s="78">
        <f t="shared" si="0"/>
        <v>0.95061728395061729</v>
      </c>
      <c r="H9" s="63">
        <f t="shared" si="1"/>
        <v>2.4858297938150642E-2</v>
      </c>
      <c r="I9" s="56">
        <v>770</v>
      </c>
      <c r="J9" s="77">
        <v>46508</v>
      </c>
      <c r="K9" s="56">
        <v>794</v>
      </c>
      <c r="L9" s="79">
        <f t="shared" si="2"/>
        <v>0.98024691358024696</v>
      </c>
      <c r="M9" s="60" t="s">
        <v>138</v>
      </c>
    </row>
    <row r="10" spans="1:14" x14ac:dyDescent="0.25">
      <c r="A10" s="80" t="s">
        <v>146</v>
      </c>
      <c r="B10" s="80" t="s">
        <v>147</v>
      </c>
      <c r="C10" s="81">
        <v>810</v>
      </c>
      <c r="D10" s="80" t="s">
        <v>135</v>
      </c>
      <c r="E10" s="85">
        <v>44105</v>
      </c>
      <c r="F10" s="85">
        <v>45930</v>
      </c>
      <c r="G10" s="82">
        <f t="shared" si="0"/>
        <v>1.2506172839506173</v>
      </c>
      <c r="H10" s="83">
        <f t="shared" si="1"/>
        <v>0</v>
      </c>
      <c r="I10" s="84">
        <v>1013</v>
      </c>
      <c r="J10" s="80"/>
      <c r="K10" s="80"/>
      <c r="L10" s="86">
        <f t="shared" si="2"/>
        <v>0</v>
      </c>
      <c r="M10" s="80"/>
    </row>
    <row r="11" spans="1:14" x14ac:dyDescent="0.25">
      <c r="A11" s="60" t="s">
        <v>148</v>
      </c>
      <c r="B11" s="60" t="s">
        <v>149</v>
      </c>
      <c r="C11" s="42">
        <v>810</v>
      </c>
      <c r="D11" s="60" t="s">
        <v>150</v>
      </c>
      <c r="E11" s="77">
        <v>43070</v>
      </c>
      <c r="F11" s="77">
        <v>46142</v>
      </c>
      <c r="G11" s="78">
        <f t="shared" si="0"/>
        <v>1.6975308641975309</v>
      </c>
      <c r="H11" s="63">
        <f t="shared" si="1"/>
        <v>0</v>
      </c>
      <c r="I11" s="56">
        <v>1375</v>
      </c>
      <c r="J11" s="60"/>
      <c r="K11" s="60"/>
      <c r="L11" s="79">
        <f t="shared" si="2"/>
        <v>0</v>
      </c>
      <c r="M11" s="60" t="s">
        <v>151</v>
      </c>
    </row>
    <row r="12" spans="1:14" x14ac:dyDescent="0.25">
      <c r="A12" s="80" t="s">
        <v>152</v>
      </c>
      <c r="B12" s="80" t="s">
        <v>153</v>
      </c>
      <c r="C12" s="81">
        <v>810</v>
      </c>
      <c r="D12" s="80" t="s">
        <v>135</v>
      </c>
      <c r="E12" s="87" t="s">
        <v>143</v>
      </c>
      <c r="F12" s="87" t="s">
        <v>143</v>
      </c>
      <c r="G12" s="82">
        <f t="shared" si="0"/>
        <v>1.219753086419753</v>
      </c>
      <c r="H12" s="83">
        <f t="shared" si="1"/>
        <v>0</v>
      </c>
      <c r="I12" s="84">
        <v>988</v>
      </c>
      <c r="J12" s="80"/>
      <c r="K12" s="80"/>
      <c r="L12" s="86">
        <f t="shared" si="2"/>
        <v>0</v>
      </c>
      <c r="M12" s="80"/>
    </row>
    <row r="13" spans="1:14" x14ac:dyDescent="0.25">
      <c r="A13" s="60" t="s">
        <v>154</v>
      </c>
      <c r="B13" s="60" t="s">
        <v>137</v>
      </c>
      <c r="C13" s="42">
        <v>1350</v>
      </c>
      <c r="D13" s="60" t="s">
        <v>135</v>
      </c>
      <c r="E13" s="60"/>
      <c r="F13" s="60"/>
      <c r="G13" s="78">
        <f t="shared" si="0"/>
        <v>0</v>
      </c>
      <c r="H13" s="63">
        <f t="shared" si="1"/>
        <v>0</v>
      </c>
      <c r="I13" s="56">
        <v>0</v>
      </c>
      <c r="J13" s="60"/>
      <c r="K13" s="60"/>
      <c r="L13" s="79">
        <f t="shared" si="2"/>
        <v>0</v>
      </c>
      <c r="M13" s="60"/>
    </row>
    <row r="14" spans="1:14" x14ac:dyDescent="0.25">
      <c r="A14" s="80" t="s">
        <v>155</v>
      </c>
      <c r="B14" s="80" t="s">
        <v>156</v>
      </c>
      <c r="C14" s="81">
        <v>1350</v>
      </c>
      <c r="D14" s="80" t="s">
        <v>150</v>
      </c>
      <c r="E14" s="87" t="s">
        <v>143</v>
      </c>
      <c r="F14" s="87" t="s">
        <v>143</v>
      </c>
      <c r="G14" s="82">
        <f t="shared" si="0"/>
        <v>1.0185185185185186</v>
      </c>
      <c r="H14" s="83">
        <f t="shared" si="1"/>
        <v>0</v>
      </c>
      <c r="I14" s="84">
        <v>1375</v>
      </c>
      <c r="J14" s="80"/>
      <c r="K14" s="80"/>
      <c r="L14" s="86">
        <f t="shared" si="2"/>
        <v>0</v>
      </c>
      <c r="M14" s="80"/>
    </row>
    <row r="15" spans="1:14" x14ac:dyDescent="0.25">
      <c r="A15" s="60" t="s">
        <v>157</v>
      </c>
      <c r="B15" s="60" t="s">
        <v>158</v>
      </c>
      <c r="C15" s="42">
        <v>1310</v>
      </c>
      <c r="D15" s="60" t="s">
        <v>135</v>
      </c>
      <c r="E15" s="87" t="s">
        <v>143</v>
      </c>
      <c r="F15" s="87" t="s">
        <v>143</v>
      </c>
      <c r="G15" s="78">
        <f t="shared" si="0"/>
        <v>0.82595419847328244</v>
      </c>
      <c r="H15" s="63">
        <f t="shared" si="1"/>
        <v>0</v>
      </c>
      <c r="I15" s="56">
        <v>1082</v>
      </c>
      <c r="J15" s="60"/>
      <c r="K15" s="60"/>
      <c r="L15" s="79">
        <f t="shared" si="2"/>
        <v>0</v>
      </c>
      <c r="M15" s="60"/>
    </row>
    <row r="16" spans="1:14" x14ac:dyDescent="0.25">
      <c r="A16" s="80" t="s">
        <v>159</v>
      </c>
      <c r="B16" s="80" t="s">
        <v>160</v>
      </c>
      <c r="C16" s="81">
        <v>1880</v>
      </c>
      <c r="D16" s="80" t="s">
        <v>135</v>
      </c>
      <c r="E16" s="85">
        <v>45992</v>
      </c>
      <c r="F16" s="85">
        <v>47087</v>
      </c>
      <c r="G16" s="82">
        <f t="shared" si="0"/>
        <v>0.80106382978723401</v>
      </c>
      <c r="H16" s="83">
        <f t="shared" si="1"/>
        <v>3.0736144060146353E-2</v>
      </c>
      <c r="I16" s="84">
        <v>1506</v>
      </c>
      <c r="J16" s="85">
        <v>46722</v>
      </c>
      <c r="K16" s="84">
        <v>1600</v>
      </c>
      <c r="L16" s="86">
        <f t="shared" si="2"/>
        <v>0.85106382978723405</v>
      </c>
      <c r="M16" s="80"/>
    </row>
    <row r="17" spans="1:13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89"/>
      <c r="B18" s="89" t="s">
        <v>161</v>
      </c>
      <c r="C18" s="90">
        <f>SUM(C5:C16)</f>
        <v>17880</v>
      </c>
      <c r="D18" s="89"/>
      <c r="E18" s="89"/>
      <c r="F18" s="89"/>
      <c r="G18" s="91">
        <f>IFERROR(I18/C18,0)</f>
        <v>1.0808724832214764</v>
      </c>
      <c r="H18" s="89"/>
      <c r="I18" s="92">
        <f>SUM(I5:I16)</f>
        <v>19326</v>
      </c>
      <c r="J18" s="93"/>
      <c r="K18" s="93"/>
      <c r="L18" s="93"/>
      <c r="M18" s="93"/>
    </row>
    <row r="20" spans="1:13" x14ac:dyDescent="0.25">
      <c r="B20" t="s">
        <v>281</v>
      </c>
    </row>
    <row r="21" spans="1:13" x14ac:dyDescent="0.25">
      <c r="A21">
        <v>1</v>
      </c>
      <c r="B21" s="178" t="s">
        <v>284</v>
      </c>
    </row>
    <row r="22" spans="1:13" x14ac:dyDescent="0.25">
      <c r="A22">
        <v>2</v>
      </c>
      <c r="B22" s="178" t="s">
        <v>282</v>
      </c>
    </row>
    <row r="23" spans="1:13" x14ac:dyDescent="0.25">
      <c r="A23">
        <v>3</v>
      </c>
      <c r="B23" s="178" t="s">
        <v>283</v>
      </c>
    </row>
    <row r="24" spans="1:13" x14ac:dyDescent="0.25">
      <c r="A24">
        <v>4</v>
      </c>
    </row>
    <row r="25" spans="1:13" x14ac:dyDescent="0.25">
      <c r="C25">
        <f>(C6 + C13 )/ C18</f>
        <v>0.12639821029082773</v>
      </c>
    </row>
    <row r="26" spans="1:13" x14ac:dyDescent="0.25">
      <c r="C26">
        <f>1 - C25</f>
        <v>0.87360178970917224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B1:H26"/>
  <sheetViews>
    <sheetView zoomScaleNormal="100" workbookViewId="0">
      <pane ySplit="4" topLeftCell="A5" activePane="bottomLeft" state="frozen"/>
      <selection pane="bottomLeft" activeCell="B26" sqref="B26"/>
    </sheetView>
  </sheetViews>
  <sheetFormatPr defaultColWidth="8.7109375" defaultRowHeight="15" x14ac:dyDescent="0.25"/>
  <cols>
    <col min="1" max="1" width="2.7109375" customWidth="1"/>
    <col min="2" max="2" width="29.7109375" bestFit="1" customWidth="1"/>
    <col min="3" max="3" width="14" customWidth="1"/>
    <col min="4" max="5" width="10" customWidth="1"/>
    <col min="6" max="6" width="16" customWidth="1"/>
    <col min="7" max="7" width="14" customWidth="1"/>
  </cols>
  <sheetData>
    <row r="1" spans="2:7" ht="15.75" customHeight="1" x14ac:dyDescent="0.25">
      <c r="B1" s="1" t="s">
        <v>162</v>
      </c>
      <c r="C1" s="1"/>
      <c r="D1" s="1"/>
      <c r="E1" s="1"/>
      <c r="F1" s="1"/>
    </row>
    <row r="2" spans="2:7" x14ac:dyDescent="0.25">
      <c r="B2" s="61" t="s">
        <v>163</v>
      </c>
    </row>
    <row r="4" spans="2:7" ht="15.75" customHeight="1" thickBot="1" x14ac:dyDescent="0.3">
      <c r="B4" s="74" t="s">
        <v>164</v>
      </c>
      <c r="C4" s="94" t="s">
        <v>165</v>
      </c>
      <c r="D4" s="74" t="s">
        <v>166</v>
      </c>
      <c r="E4" s="74" t="s">
        <v>167</v>
      </c>
      <c r="F4" s="74" t="s">
        <v>168</v>
      </c>
      <c r="G4" s="74" t="s">
        <v>169</v>
      </c>
    </row>
    <row r="5" spans="2:7" x14ac:dyDescent="0.25">
      <c r="B5" s="7" t="s">
        <v>170</v>
      </c>
      <c r="C5" s="95">
        <v>35760</v>
      </c>
      <c r="D5" s="79">
        <f t="shared" ref="D5:D21" si="0">IFERROR(C5/NRA,0)</f>
        <v>2</v>
      </c>
      <c r="E5" s="96">
        <v>0.03</v>
      </c>
      <c r="F5" s="97">
        <f t="shared" ref="F5:F16" si="1">C5*(1+E5)</f>
        <v>36832.800000000003</v>
      </c>
      <c r="G5" s="9">
        <f t="shared" ref="G5:G20" si="2">F5/12</f>
        <v>3069.4</v>
      </c>
    </row>
    <row r="6" spans="2:7" x14ac:dyDescent="0.25">
      <c r="B6" s="98" t="s">
        <v>171</v>
      </c>
      <c r="C6" s="99">
        <v>18590</v>
      </c>
      <c r="D6" s="86">
        <f t="shared" si="0"/>
        <v>1.0397091722595078</v>
      </c>
      <c r="E6" s="96">
        <v>0.02</v>
      </c>
      <c r="F6" s="97">
        <f t="shared" si="1"/>
        <v>18961.8</v>
      </c>
      <c r="G6" s="100">
        <f t="shared" si="2"/>
        <v>1580.1499999999999</v>
      </c>
    </row>
    <row r="7" spans="2:7" x14ac:dyDescent="0.25">
      <c r="B7" s="7" t="s">
        <v>172</v>
      </c>
      <c r="C7" s="95">
        <v>21132</v>
      </c>
      <c r="D7" s="79">
        <f t="shared" si="0"/>
        <v>1.1818791946308724</v>
      </c>
      <c r="E7" s="96">
        <v>0.02</v>
      </c>
      <c r="F7" s="97">
        <f t="shared" si="1"/>
        <v>21554.639999999999</v>
      </c>
      <c r="G7" s="9">
        <f t="shared" si="2"/>
        <v>1796.22</v>
      </c>
    </row>
    <row r="8" spans="2:7" x14ac:dyDescent="0.25">
      <c r="B8" s="98" t="s">
        <v>173</v>
      </c>
      <c r="C8" s="99">
        <v>1278</v>
      </c>
      <c r="D8" s="86">
        <f t="shared" si="0"/>
        <v>7.1476510067114099E-2</v>
      </c>
      <c r="E8" s="96">
        <v>0.02</v>
      </c>
      <c r="F8" s="97">
        <f t="shared" si="1"/>
        <v>1303.56</v>
      </c>
      <c r="G8" s="100">
        <f t="shared" si="2"/>
        <v>108.63</v>
      </c>
    </row>
    <row r="9" spans="2:7" x14ac:dyDescent="0.25">
      <c r="B9" s="7" t="s">
        <v>174</v>
      </c>
      <c r="C9" s="95">
        <v>30544</v>
      </c>
      <c r="D9" s="79">
        <f t="shared" si="0"/>
        <v>1.7082774049217002</v>
      </c>
      <c r="E9" s="96">
        <v>0.02</v>
      </c>
      <c r="F9" s="97">
        <f t="shared" si="1"/>
        <v>31154.880000000001</v>
      </c>
      <c r="G9" s="9">
        <f t="shared" si="2"/>
        <v>2596.2400000000002</v>
      </c>
    </row>
    <row r="10" spans="2:7" x14ac:dyDescent="0.25">
      <c r="B10" s="98" t="s">
        <v>175</v>
      </c>
      <c r="C10" s="99">
        <v>3220</v>
      </c>
      <c r="D10" s="86">
        <f t="shared" si="0"/>
        <v>0.18008948545861297</v>
      </c>
      <c r="E10" s="96">
        <v>0.03</v>
      </c>
      <c r="F10" s="97">
        <f t="shared" si="1"/>
        <v>3316.6</v>
      </c>
      <c r="G10" s="100">
        <f t="shared" si="2"/>
        <v>276.38333333333333</v>
      </c>
    </row>
    <row r="11" spans="2:7" x14ac:dyDescent="0.25">
      <c r="B11" s="7" t="s">
        <v>176</v>
      </c>
      <c r="C11" s="95">
        <v>31766</v>
      </c>
      <c r="D11" s="79">
        <f t="shared" si="0"/>
        <v>1.7766219239373602</v>
      </c>
      <c r="E11" s="96">
        <v>0.03</v>
      </c>
      <c r="F11" s="97">
        <f t="shared" si="1"/>
        <v>32718.98</v>
      </c>
      <c r="G11" s="9">
        <f t="shared" si="2"/>
        <v>2726.5816666666665</v>
      </c>
    </row>
    <row r="12" spans="2:7" x14ac:dyDescent="0.25">
      <c r="B12" s="98" t="s">
        <v>177</v>
      </c>
      <c r="C12" s="99">
        <v>0</v>
      </c>
      <c r="D12" s="86">
        <f t="shared" si="0"/>
        <v>0</v>
      </c>
      <c r="E12" s="96">
        <v>0.03</v>
      </c>
      <c r="F12" s="97">
        <f t="shared" si="1"/>
        <v>0</v>
      </c>
      <c r="G12" s="100">
        <f t="shared" si="2"/>
        <v>0</v>
      </c>
    </row>
    <row r="13" spans="2:7" x14ac:dyDescent="0.25">
      <c r="B13" s="7" t="s">
        <v>178</v>
      </c>
      <c r="C13" s="95">
        <v>0</v>
      </c>
      <c r="D13" s="79">
        <f t="shared" si="0"/>
        <v>0</v>
      </c>
      <c r="E13" s="96">
        <v>0.02</v>
      </c>
      <c r="F13" s="97">
        <f t="shared" si="1"/>
        <v>0</v>
      </c>
      <c r="G13" s="9">
        <f t="shared" si="2"/>
        <v>0</v>
      </c>
    </row>
    <row r="14" spans="2:7" x14ac:dyDescent="0.25">
      <c r="B14" s="98" t="s">
        <v>179</v>
      </c>
      <c r="C14" s="99">
        <v>1687</v>
      </c>
      <c r="D14" s="86">
        <f t="shared" si="0"/>
        <v>9.4351230425055929E-2</v>
      </c>
      <c r="E14" s="96">
        <v>0.02</v>
      </c>
      <c r="F14" s="97">
        <f t="shared" si="1"/>
        <v>1720.74</v>
      </c>
      <c r="G14" s="100">
        <f t="shared" si="2"/>
        <v>143.39500000000001</v>
      </c>
    </row>
    <row r="15" spans="2:7" x14ac:dyDescent="0.25">
      <c r="B15" s="58" t="s">
        <v>180</v>
      </c>
      <c r="C15" s="95">
        <v>0</v>
      </c>
      <c r="D15" s="79">
        <f t="shared" si="0"/>
        <v>0</v>
      </c>
      <c r="E15" s="96">
        <v>0.02</v>
      </c>
      <c r="F15" s="97">
        <f t="shared" si="1"/>
        <v>0</v>
      </c>
      <c r="G15" s="9">
        <f t="shared" si="2"/>
        <v>0</v>
      </c>
    </row>
    <row r="16" spans="2:7" x14ac:dyDescent="0.25">
      <c r="B16" s="101" t="s">
        <v>181</v>
      </c>
      <c r="C16" s="102">
        <v>0</v>
      </c>
      <c r="D16" s="103">
        <f t="shared" si="0"/>
        <v>0</v>
      </c>
      <c r="E16" s="104">
        <v>0.02</v>
      </c>
      <c r="F16" s="105">
        <f t="shared" si="1"/>
        <v>0</v>
      </c>
      <c r="G16" s="106">
        <f t="shared" si="2"/>
        <v>0</v>
      </c>
    </row>
    <row r="17" spans="2:8" x14ac:dyDescent="0.25">
      <c r="B17" s="107" t="s">
        <v>182</v>
      </c>
      <c r="C17" s="108">
        <v>24042</v>
      </c>
      <c r="D17" s="109">
        <f t="shared" si="0"/>
        <v>1.3446308724832214</v>
      </c>
      <c r="E17" s="110">
        <v>0.02</v>
      </c>
      <c r="F17" s="111">
        <f>Assessed_Value*Millage_Rate</f>
        <v>23484</v>
      </c>
      <c r="G17" s="112">
        <f t="shared" si="2"/>
        <v>1957</v>
      </c>
      <c r="H17" s="61" t="s">
        <v>183</v>
      </c>
    </row>
    <row r="18" spans="2:8" x14ac:dyDescent="0.25">
      <c r="B18" s="101" t="s">
        <v>184</v>
      </c>
      <c r="C18" s="102">
        <v>9777</v>
      </c>
      <c r="D18" s="103">
        <f t="shared" si="0"/>
        <v>0.54681208053691277</v>
      </c>
      <c r="E18" s="104">
        <v>0.03</v>
      </c>
      <c r="F18" s="113">
        <f>C18*(1+E18)</f>
        <v>10070.31</v>
      </c>
      <c r="G18" s="106">
        <f t="shared" si="2"/>
        <v>839.1925</v>
      </c>
      <c r="H18" s="61" t="s">
        <v>185</v>
      </c>
    </row>
    <row r="19" spans="2:8" x14ac:dyDescent="0.25">
      <c r="B19" s="114" t="s">
        <v>13</v>
      </c>
      <c r="C19" s="115">
        <v>16613</v>
      </c>
      <c r="D19" s="116">
        <f t="shared" si="0"/>
        <v>0.92913870246085006</v>
      </c>
      <c r="E19" s="117">
        <v>0</v>
      </c>
      <c r="F19" s="118">
        <f>0</f>
        <v>0</v>
      </c>
      <c r="G19" s="118">
        <f t="shared" si="2"/>
        <v>0</v>
      </c>
      <c r="H19" s="61" t="s">
        <v>186</v>
      </c>
    </row>
    <row r="20" spans="2:8" x14ac:dyDescent="0.25">
      <c r="B20" s="98" t="s">
        <v>187</v>
      </c>
      <c r="C20" s="99">
        <v>0</v>
      </c>
      <c r="D20" s="86">
        <f t="shared" si="0"/>
        <v>0</v>
      </c>
      <c r="E20" s="96">
        <v>0.02</v>
      </c>
      <c r="F20" s="97">
        <f>C20*(1+E20)</f>
        <v>0</v>
      </c>
      <c r="G20" s="100">
        <f t="shared" si="2"/>
        <v>0</v>
      </c>
    </row>
    <row r="21" spans="2:8" ht="15.75" customHeight="1" thickBot="1" x14ac:dyDescent="0.3">
      <c r="B21" s="89" t="s">
        <v>188</v>
      </c>
      <c r="C21" s="92">
        <f>SUM(C5:C20)</f>
        <v>194409</v>
      </c>
      <c r="D21" s="227">
        <f t="shared" si="0"/>
        <v>10.872986577181209</v>
      </c>
      <c r="E21" s="119"/>
      <c r="F21" s="92">
        <f>SUM(F5:F18, F20)</f>
        <v>181118.31</v>
      </c>
      <c r="G21" s="92">
        <f>SUM(G5:G18, G20)</f>
        <v>15093.192500000001</v>
      </c>
    </row>
    <row r="22" spans="2:8" ht="15.75" customHeight="1" thickTop="1" x14ac:dyDescent="0.25">
      <c r="C22" s="120"/>
      <c r="D22" s="121"/>
      <c r="E22" s="122"/>
      <c r="F22" s="120"/>
      <c r="G22" s="120"/>
    </row>
    <row r="23" spans="2:8" x14ac:dyDescent="0.25">
      <c r="B23" s="123"/>
    </row>
    <row r="24" spans="2:8" x14ac:dyDescent="0.25">
      <c r="B24" s="7"/>
    </row>
    <row r="25" spans="2:8" x14ac:dyDescent="0.25">
      <c r="B25" s="15" t="s">
        <v>290</v>
      </c>
    </row>
    <row r="26" spans="2:8" x14ac:dyDescent="0.25">
      <c r="B26" s="228">
        <v>81816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BJ25"/>
  <sheetViews>
    <sheetView zoomScaleNormal="100" workbookViewId="0">
      <pane xSplit="2" ySplit="3" topLeftCell="N4" activePane="bottomRight" state="frozen"/>
      <selection pane="topRight" activeCell="G1" sqref="G1"/>
      <selection pane="bottomLeft" activeCell="A4" sqref="A4"/>
      <selection pane="bottomRight" activeCell="W6" sqref="W6"/>
    </sheetView>
  </sheetViews>
  <sheetFormatPr defaultColWidth="8.7109375" defaultRowHeight="15" x14ac:dyDescent="0.25"/>
  <cols>
    <col min="1" max="1" width="2" customWidth="1"/>
    <col min="2" max="2" width="30" customWidth="1"/>
    <col min="3" max="62" width="12" customWidth="1"/>
  </cols>
  <sheetData>
    <row r="1" spans="1:62" ht="15.75" customHeight="1" x14ac:dyDescent="0.25">
      <c r="A1" s="234" t="s">
        <v>244</v>
      </c>
      <c r="B1" s="234"/>
    </row>
    <row r="2" spans="1:62" x14ac:dyDescent="0.25">
      <c r="C2" s="124">
        <v>1</v>
      </c>
      <c r="D2" s="124">
        <v>2</v>
      </c>
      <c r="E2" s="124">
        <v>3</v>
      </c>
      <c r="F2" s="124">
        <v>4</v>
      </c>
      <c r="G2" s="124">
        <v>5</v>
      </c>
      <c r="H2" s="124">
        <v>6</v>
      </c>
      <c r="I2" s="124">
        <v>7</v>
      </c>
      <c r="J2" s="124">
        <v>8</v>
      </c>
      <c r="K2" s="124">
        <v>9</v>
      </c>
      <c r="L2" s="124">
        <v>10</v>
      </c>
      <c r="M2" s="124">
        <v>11</v>
      </c>
      <c r="N2" s="124">
        <v>12</v>
      </c>
      <c r="O2" s="124">
        <v>13</v>
      </c>
      <c r="P2" s="124">
        <v>14</v>
      </c>
      <c r="Q2" s="124">
        <v>15</v>
      </c>
      <c r="R2" s="124">
        <v>16</v>
      </c>
      <c r="S2" s="124">
        <v>17</v>
      </c>
      <c r="T2" s="124">
        <v>18</v>
      </c>
      <c r="U2" s="124">
        <v>19</v>
      </c>
      <c r="V2" s="124">
        <v>20</v>
      </c>
      <c r="W2" s="124">
        <v>21</v>
      </c>
      <c r="X2" s="124">
        <v>22</v>
      </c>
      <c r="Y2" s="124">
        <v>23</v>
      </c>
      <c r="Z2" s="124">
        <v>24</v>
      </c>
      <c r="AA2" s="124">
        <v>25</v>
      </c>
      <c r="AB2" s="124">
        <v>26</v>
      </c>
      <c r="AC2" s="124">
        <v>27</v>
      </c>
      <c r="AD2" s="124">
        <v>28</v>
      </c>
      <c r="AE2" s="124">
        <v>29</v>
      </c>
      <c r="AF2" s="124">
        <v>30</v>
      </c>
      <c r="AG2" s="124">
        <v>31</v>
      </c>
      <c r="AH2" s="124">
        <v>32</v>
      </c>
      <c r="AI2" s="124">
        <v>33</v>
      </c>
      <c r="AJ2" s="124">
        <v>34</v>
      </c>
      <c r="AK2" s="124">
        <v>35</v>
      </c>
      <c r="AL2" s="124">
        <v>36</v>
      </c>
      <c r="AM2" s="124">
        <v>37</v>
      </c>
      <c r="AN2" s="124">
        <v>38</v>
      </c>
      <c r="AO2" s="124">
        <v>39</v>
      </c>
      <c r="AP2" s="124">
        <v>40</v>
      </c>
      <c r="AQ2" s="124">
        <v>41</v>
      </c>
      <c r="AR2" s="124">
        <v>42</v>
      </c>
      <c r="AS2" s="124">
        <v>43</v>
      </c>
      <c r="AT2" s="124">
        <v>44</v>
      </c>
      <c r="AU2" s="124">
        <v>45</v>
      </c>
      <c r="AV2" s="124">
        <v>46</v>
      </c>
      <c r="AW2" s="124">
        <v>47</v>
      </c>
      <c r="AX2" s="124">
        <v>48</v>
      </c>
      <c r="AY2" s="124">
        <v>49</v>
      </c>
      <c r="AZ2" s="124">
        <v>50</v>
      </c>
      <c r="BA2" s="124">
        <v>51</v>
      </c>
      <c r="BB2" s="124">
        <v>52</v>
      </c>
      <c r="BC2" s="124">
        <v>53</v>
      </c>
      <c r="BD2" s="124">
        <v>54</v>
      </c>
      <c r="BE2" s="124">
        <v>55</v>
      </c>
      <c r="BF2" s="124">
        <v>56</v>
      </c>
      <c r="BG2" s="124">
        <v>57</v>
      </c>
      <c r="BH2" s="124">
        <v>58</v>
      </c>
      <c r="BI2" s="124">
        <v>59</v>
      </c>
      <c r="BJ2" s="124">
        <v>60</v>
      </c>
    </row>
    <row r="3" spans="1:62" x14ac:dyDescent="0.25">
      <c r="B3" s="6" t="s">
        <v>245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</row>
    <row r="4" spans="1:62" x14ac:dyDescent="0.25">
      <c r="B4" s="15" t="s">
        <v>246</v>
      </c>
      <c r="C4" s="8">
        <f>Loan1_Amount</f>
        <v>1400000</v>
      </c>
      <c r="D4" s="8">
        <f t="shared" ref="D4:AI4" si="0">C9</f>
        <v>1400000</v>
      </c>
      <c r="E4" s="8">
        <f t="shared" si="0"/>
        <v>1400000</v>
      </c>
      <c r="F4" s="8">
        <f t="shared" si="0"/>
        <v>1400000</v>
      </c>
      <c r="G4" s="8">
        <f t="shared" si="0"/>
        <v>1400000</v>
      </c>
      <c r="H4" s="8">
        <f t="shared" si="0"/>
        <v>1400000</v>
      </c>
      <c r="I4" s="8">
        <f t="shared" si="0"/>
        <v>1400000</v>
      </c>
      <c r="J4" s="8">
        <f t="shared" si="0"/>
        <v>1400000</v>
      </c>
      <c r="K4" s="8">
        <f t="shared" si="0"/>
        <v>1400000</v>
      </c>
      <c r="L4" s="8">
        <f t="shared" si="0"/>
        <v>1400000</v>
      </c>
      <c r="M4" s="8">
        <f t="shared" si="0"/>
        <v>1400000</v>
      </c>
      <c r="N4" s="8">
        <f t="shared" si="0"/>
        <v>1400000</v>
      </c>
      <c r="O4" s="8">
        <f t="shared" si="0"/>
        <v>0</v>
      </c>
      <c r="P4" s="8">
        <f t="shared" si="0"/>
        <v>0</v>
      </c>
      <c r="Q4" s="8">
        <f t="shared" si="0"/>
        <v>0</v>
      </c>
      <c r="R4" s="8">
        <f t="shared" si="0"/>
        <v>0</v>
      </c>
      <c r="S4" s="8">
        <f t="shared" si="0"/>
        <v>0</v>
      </c>
      <c r="T4" s="8">
        <f t="shared" si="0"/>
        <v>0</v>
      </c>
      <c r="U4" s="8">
        <f t="shared" si="0"/>
        <v>0</v>
      </c>
      <c r="V4" s="8">
        <f t="shared" si="0"/>
        <v>0</v>
      </c>
      <c r="W4" s="8">
        <f t="shared" si="0"/>
        <v>0</v>
      </c>
      <c r="X4" s="8">
        <f t="shared" si="0"/>
        <v>0</v>
      </c>
      <c r="Y4" s="8">
        <f t="shared" si="0"/>
        <v>0</v>
      </c>
      <c r="Z4" s="8">
        <f t="shared" si="0"/>
        <v>0</v>
      </c>
      <c r="AA4" s="8">
        <f t="shared" si="0"/>
        <v>0</v>
      </c>
      <c r="AB4" s="8">
        <f t="shared" si="0"/>
        <v>0</v>
      </c>
      <c r="AC4" s="8">
        <f t="shared" si="0"/>
        <v>0</v>
      </c>
      <c r="AD4" s="8">
        <f t="shared" si="0"/>
        <v>0</v>
      </c>
      <c r="AE4" s="8">
        <f t="shared" si="0"/>
        <v>0</v>
      </c>
      <c r="AF4" s="8">
        <f t="shared" si="0"/>
        <v>0</v>
      </c>
      <c r="AG4" s="8">
        <f t="shared" si="0"/>
        <v>0</v>
      </c>
      <c r="AH4" s="8">
        <f t="shared" si="0"/>
        <v>0</v>
      </c>
      <c r="AI4" s="8">
        <f t="shared" si="0"/>
        <v>0</v>
      </c>
      <c r="AJ4" s="8">
        <f t="shared" ref="AJ4:BJ4" si="1">AI9</f>
        <v>0</v>
      </c>
      <c r="AK4" s="8">
        <f t="shared" si="1"/>
        <v>0</v>
      </c>
      <c r="AL4" s="8">
        <f t="shared" si="1"/>
        <v>0</v>
      </c>
      <c r="AM4" s="8">
        <f t="shared" si="1"/>
        <v>0</v>
      </c>
      <c r="AN4" s="8">
        <f t="shared" si="1"/>
        <v>0</v>
      </c>
      <c r="AO4" s="8">
        <f t="shared" si="1"/>
        <v>0</v>
      </c>
      <c r="AP4" s="8">
        <f t="shared" si="1"/>
        <v>0</v>
      </c>
      <c r="AQ4" s="8">
        <f t="shared" si="1"/>
        <v>0</v>
      </c>
      <c r="AR4" s="8">
        <f t="shared" si="1"/>
        <v>0</v>
      </c>
      <c r="AS4" s="8">
        <f t="shared" si="1"/>
        <v>0</v>
      </c>
      <c r="AT4" s="8">
        <f t="shared" si="1"/>
        <v>0</v>
      </c>
      <c r="AU4" s="8">
        <f t="shared" si="1"/>
        <v>0</v>
      </c>
      <c r="AV4" s="8">
        <f t="shared" si="1"/>
        <v>0</v>
      </c>
      <c r="AW4" s="8">
        <f t="shared" si="1"/>
        <v>0</v>
      </c>
      <c r="AX4" s="8">
        <f t="shared" si="1"/>
        <v>0</v>
      </c>
      <c r="AY4" s="8">
        <f t="shared" si="1"/>
        <v>0</v>
      </c>
      <c r="AZ4" s="8">
        <f t="shared" si="1"/>
        <v>0</v>
      </c>
      <c r="BA4" s="8">
        <f t="shared" si="1"/>
        <v>0</v>
      </c>
      <c r="BB4" s="8">
        <f t="shared" si="1"/>
        <v>0</v>
      </c>
      <c r="BC4" s="8">
        <f t="shared" si="1"/>
        <v>0</v>
      </c>
      <c r="BD4" s="8">
        <f t="shared" si="1"/>
        <v>0</v>
      </c>
      <c r="BE4" s="8">
        <f t="shared" si="1"/>
        <v>0</v>
      </c>
      <c r="BF4" s="8">
        <f t="shared" si="1"/>
        <v>0</v>
      </c>
      <c r="BG4" s="8">
        <f t="shared" si="1"/>
        <v>0</v>
      </c>
      <c r="BH4" s="8">
        <f t="shared" si="1"/>
        <v>0</v>
      </c>
      <c r="BI4" s="8">
        <f t="shared" si="1"/>
        <v>0</v>
      </c>
      <c r="BJ4" s="8">
        <f t="shared" si="1"/>
        <v>0</v>
      </c>
    </row>
    <row r="5" spans="1:62" x14ac:dyDescent="0.25">
      <c r="B5" s="7" t="s">
        <v>247</v>
      </c>
      <c r="C5" s="9">
        <f t="shared" ref="C5:AH5" si="2">C4*Rate1/12</f>
        <v>11666.666666666666</v>
      </c>
      <c r="D5" s="9">
        <f t="shared" si="2"/>
        <v>11666.666666666666</v>
      </c>
      <c r="E5" s="9">
        <f t="shared" si="2"/>
        <v>11666.666666666666</v>
      </c>
      <c r="F5" s="9">
        <f t="shared" si="2"/>
        <v>11666.666666666666</v>
      </c>
      <c r="G5" s="9">
        <f t="shared" si="2"/>
        <v>11666.666666666666</v>
      </c>
      <c r="H5" s="9">
        <f t="shared" si="2"/>
        <v>11666.666666666666</v>
      </c>
      <c r="I5" s="9">
        <f t="shared" si="2"/>
        <v>11666.666666666666</v>
      </c>
      <c r="J5" s="9">
        <f t="shared" si="2"/>
        <v>11666.666666666666</v>
      </c>
      <c r="K5" s="9">
        <f t="shared" si="2"/>
        <v>11666.666666666666</v>
      </c>
      <c r="L5" s="9">
        <f t="shared" si="2"/>
        <v>11666.666666666666</v>
      </c>
      <c r="M5" s="9">
        <f t="shared" si="2"/>
        <v>11666.666666666666</v>
      </c>
      <c r="N5" s="9">
        <f t="shared" si="2"/>
        <v>11666.666666666666</v>
      </c>
      <c r="O5" s="9">
        <f t="shared" si="2"/>
        <v>0</v>
      </c>
      <c r="P5" s="9">
        <f t="shared" si="2"/>
        <v>0</v>
      </c>
      <c r="Q5" s="9">
        <f t="shared" si="2"/>
        <v>0</v>
      </c>
      <c r="R5" s="9">
        <f t="shared" si="2"/>
        <v>0</v>
      </c>
      <c r="S5" s="9">
        <f t="shared" si="2"/>
        <v>0</v>
      </c>
      <c r="T5" s="9">
        <f t="shared" si="2"/>
        <v>0</v>
      </c>
      <c r="U5" s="9">
        <f t="shared" si="2"/>
        <v>0</v>
      </c>
      <c r="V5" s="9">
        <f t="shared" si="2"/>
        <v>0</v>
      </c>
      <c r="W5" s="9">
        <f t="shared" si="2"/>
        <v>0</v>
      </c>
      <c r="X5" s="9">
        <f t="shared" si="2"/>
        <v>0</v>
      </c>
      <c r="Y5" s="9">
        <f t="shared" si="2"/>
        <v>0</v>
      </c>
      <c r="Z5" s="9">
        <f t="shared" si="2"/>
        <v>0</v>
      </c>
      <c r="AA5" s="9">
        <f t="shared" si="2"/>
        <v>0</v>
      </c>
      <c r="AB5" s="9">
        <f t="shared" si="2"/>
        <v>0</v>
      </c>
      <c r="AC5" s="9">
        <f t="shared" si="2"/>
        <v>0</v>
      </c>
      <c r="AD5" s="9">
        <f t="shared" si="2"/>
        <v>0</v>
      </c>
      <c r="AE5" s="9">
        <f t="shared" si="2"/>
        <v>0</v>
      </c>
      <c r="AF5" s="9">
        <f t="shared" si="2"/>
        <v>0</v>
      </c>
      <c r="AG5" s="9">
        <f t="shared" si="2"/>
        <v>0</v>
      </c>
      <c r="AH5" s="9">
        <f t="shared" si="2"/>
        <v>0</v>
      </c>
      <c r="AI5" s="9">
        <f t="shared" ref="AI5:BJ5" si="3">AI4*Rate1/12</f>
        <v>0</v>
      </c>
      <c r="AJ5" s="9">
        <f t="shared" si="3"/>
        <v>0</v>
      </c>
      <c r="AK5" s="9">
        <f t="shared" si="3"/>
        <v>0</v>
      </c>
      <c r="AL5" s="9">
        <f t="shared" si="3"/>
        <v>0</v>
      </c>
      <c r="AM5" s="9">
        <f t="shared" si="3"/>
        <v>0</v>
      </c>
      <c r="AN5" s="9">
        <f t="shared" si="3"/>
        <v>0</v>
      </c>
      <c r="AO5" s="9">
        <f t="shared" si="3"/>
        <v>0</v>
      </c>
      <c r="AP5" s="9">
        <f t="shared" si="3"/>
        <v>0</v>
      </c>
      <c r="AQ5" s="9">
        <f t="shared" si="3"/>
        <v>0</v>
      </c>
      <c r="AR5" s="9">
        <f t="shared" si="3"/>
        <v>0</v>
      </c>
      <c r="AS5" s="9">
        <f t="shared" si="3"/>
        <v>0</v>
      </c>
      <c r="AT5" s="9">
        <f t="shared" si="3"/>
        <v>0</v>
      </c>
      <c r="AU5" s="9">
        <f t="shared" si="3"/>
        <v>0</v>
      </c>
      <c r="AV5" s="9">
        <f t="shared" si="3"/>
        <v>0</v>
      </c>
      <c r="AW5" s="9">
        <f t="shared" si="3"/>
        <v>0</v>
      </c>
      <c r="AX5" s="9">
        <f t="shared" si="3"/>
        <v>0</v>
      </c>
      <c r="AY5" s="9">
        <f t="shared" si="3"/>
        <v>0</v>
      </c>
      <c r="AZ5" s="9">
        <f t="shared" si="3"/>
        <v>0</v>
      </c>
      <c r="BA5" s="9">
        <f t="shared" si="3"/>
        <v>0</v>
      </c>
      <c r="BB5" s="9">
        <f t="shared" si="3"/>
        <v>0</v>
      </c>
      <c r="BC5" s="9">
        <f t="shared" si="3"/>
        <v>0</v>
      </c>
      <c r="BD5" s="9">
        <f t="shared" si="3"/>
        <v>0</v>
      </c>
      <c r="BE5" s="9">
        <f t="shared" si="3"/>
        <v>0</v>
      </c>
      <c r="BF5" s="9">
        <f t="shared" si="3"/>
        <v>0</v>
      </c>
      <c r="BG5" s="9">
        <f t="shared" si="3"/>
        <v>0</v>
      </c>
      <c r="BH5" s="9">
        <f t="shared" si="3"/>
        <v>0</v>
      </c>
      <c r="BI5" s="9">
        <f t="shared" si="3"/>
        <v>0</v>
      </c>
      <c r="BJ5" s="9">
        <f t="shared" si="3"/>
        <v>0</v>
      </c>
    </row>
    <row r="6" spans="1:62" x14ac:dyDescent="0.25">
      <c r="B6" s="7" t="s">
        <v>248</v>
      </c>
      <c r="C6" s="9">
        <f t="shared" ref="C6:AH6" si="4">IF(C2&lt;=IO1_Months,0,IF(C4=0,0,PPMT(Rate1/12,C2-IO1_Months,Amort1_Years*12,-Loan1_Amount)))</f>
        <v>0</v>
      </c>
      <c r="D6" s="9">
        <f t="shared" si="4"/>
        <v>0</v>
      </c>
      <c r="E6" s="9">
        <f t="shared" si="4"/>
        <v>0</v>
      </c>
      <c r="F6" s="9">
        <f t="shared" si="4"/>
        <v>0</v>
      </c>
      <c r="G6" s="9">
        <f t="shared" si="4"/>
        <v>0</v>
      </c>
      <c r="H6" s="9">
        <f t="shared" si="4"/>
        <v>0</v>
      </c>
      <c r="I6" s="9">
        <f t="shared" si="4"/>
        <v>0</v>
      </c>
      <c r="J6" s="9">
        <f t="shared" si="4"/>
        <v>0</v>
      </c>
      <c r="K6" s="9">
        <f t="shared" si="4"/>
        <v>0</v>
      </c>
      <c r="L6" s="9">
        <f t="shared" si="4"/>
        <v>0</v>
      </c>
      <c r="M6" s="9">
        <f t="shared" si="4"/>
        <v>0</v>
      </c>
      <c r="N6" s="9">
        <f t="shared" si="4"/>
        <v>0</v>
      </c>
      <c r="O6" s="9">
        <f t="shared" si="4"/>
        <v>0</v>
      </c>
      <c r="P6" s="9">
        <f t="shared" si="4"/>
        <v>0</v>
      </c>
      <c r="Q6" s="9">
        <f t="shared" si="4"/>
        <v>0</v>
      </c>
      <c r="R6" s="9">
        <f t="shared" si="4"/>
        <v>0</v>
      </c>
      <c r="S6" s="9">
        <f t="shared" si="4"/>
        <v>0</v>
      </c>
      <c r="T6" s="9">
        <f t="shared" si="4"/>
        <v>0</v>
      </c>
      <c r="U6" s="9">
        <f t="shared" si="4"/>
        <v>0</v>
      </c>
      <c r="V6" s="9">
        <f t="shared" si="4"/>
        <v>0</v>
      </c>
      <c r="W6" s="9">
        <f t="shared" si="4"/>
        <v>0</v>
      </c>
      <c r="X6" s="9">
        <f t="shared" si="4"/>
        <v>0</v>
      </c>
      <c r="Y6" s="9">
        <f t="shared" si="4"/>
        <v>0</v>
      </c>
      <c r="Z6" s="9">
        <f t="shared" si="4"/>
        <v>0</v>
      </c>
      <c r="AA6" s="9">
        <f t="shared" si="4"/>
        <v>0</v>
      </c>
      <c r="AB6" s="9">
        <f t="shared" si="4"/>
        <v>0</v>
      </c>
      <c r="AC6" s="9">
        <f t="shared" si="4"/>
        <v>0</v>
      </c>
      <c r="AD6" s="9">
        <f t="shared" si="4"/>
        <v>0</v>
      </c>
      <c r="AE6" s="9">
        <f t="shared" si="4"/>
        <v>0</v>
      </c>
      <c r="AF6" s="9">
        <f t="shared" si="4"/>
        <v>0</v>
      </c>
      <c r="AG6" s="9">
        <f t="shared" si="4"/>
        <v>0</v>
      </c>
      <c r="AH6" s="9">
        <f t="shared" si="4"/>
        <v>0</v>
      </c>
      <c r="AI6" s="9">
        <f t="shared" ref="AI6:BJ6" si="5">IF(AI2&lt;=IO1_Months,0,IF(AI4=0,0,PPMT(Rate1/12,AI2-IO1_Months,Amort1_Years*12,-Loan1_Amount)))</f>
        <v>0</v>
      </c>
      <c r="AJ6" s="9">
        <f t="shared" si="5"/>
        <v>0</v>
      </c>
      <c r="AK6" s="9">
        <f t="shared" si="5"/>
        <v>0</v>
      </c>
      <c r="AL6" s="9">
        <f t="shared" si="5"/>
        <v>0</v>
      </c>
      <c r="AM6" s="9">
        <f t="shared" si="5"/>
        <v>0</v>
      </c>
      <c r="AN6" s="9">
        <f t="shared" si="5"/>
        <v>0</v>
      </c>
      <c r="AO6" s="9">
        <f t="shared" si="5"/>
        <v>0</v>
      </c>
      <c r="AP6" s="9">
        <f t="shared" si="5"/>
        <v>0</v>
      </c>
      <c r="AQ6" s="9">
        <f t="shared" si="5"/>
        <v>0</v>
      </c>
      <c r="AR6" s="9">
        <f t="shared" si="5"/>
        <v>0</v>
      </c>
      <c r="AS6" s="9">
        <f t="shared" si="5"/>
        <v>0</v>
      </c>
      <c r="AT6" s="9">
        <f t="shared" si="5"/>
        <v>0</v>
      </c>
      <c r="AU6" s="9">
        <f t="shared" si="5"/>
        <v>0</v>
      </c>
      <c r="AV6" s="9">
        <f t="shared" si="5"/>
        <v>0</v>
      </c>
      <c r="AW6" s="9">
        <f t="shared" si="5"/>
        <v>0</v>
      </c>
      <c r="AX6" s="9">
        <f t="shared" si="5"/>
        <v>0</v>
      </c>
      <c r="AY6" s="9">
        <f t="shared" si="5"/>
        <v>0</v>
      </c>
      <c r="AZ6" s="9">
        <f t="shared" si="5"/>
        <v>0</v>
      </c>
      <c r="BA6" s="9">
        <f t="shared" si="5"/>
        <v>0</v>
      </c>
      <c r="BB6" s="9">
        <f t="shared" si="5"/>
        <v>0</v>
      </c>
      <c r="BC6" s="9">
        <f t="shared" si="5"/>
        <v>0</v>
      </c>
      <c r="BD6" s="9">
        <f t="shared" si="5"/>
        <v>0</v>
      </c>
      <c r="BE6" s="9">
        <f t="shared" si="5"/>
        <v>0</v>
      </c>
      <c r="BF6" s="9">
        <f t="shared" si="5"/>
        <v>0</v>
      </c>
      <c r="BG6" s="9">
        <f t="shared" si="5"/>
        <v>0</v>
      </c>
      <c r="BH6" s="9">
        <f t="shared" si="5"/>
        <v>0</v>
      </c>
      <c r="BI6" s="9">
        <f t="shared" si="5"/>
        <v>0</v>
      </c>
      <c r="BJ6" s="9">
        <f t="shared" si="5"/>
        <v>0</v>
      </c>
    </row>
    <row r="7" spans="1:62" x14ac:dyDescent="0.25">
      <c r="B7" s="7" t="s">
        <v>249</v>
      </c>
      <c r="C7" s="9">
        <f t="shared" ref="C7:AH7" si="6">C5+C6</f>
        <v>11666.666666666666</v>
      </c>
      <c r="D7" s="9">
        <f t="shared" si="6"/>
        <v>11666.666666666666</v>
      </c>
      <c r="E7" s="9">
        <f t="shared" si="6"/>
        <v>11666.666666666666</v>
      </c>
      <c r="F7" s="9">
        <f t="shared" si="6"/>
        <v>11666.666666666666</v>
      </c>
      <c r="G7" s="9">
        <f t="shared" si="6"/>
        <v>11666.666666666666</v>
      </c>
      <c r="H7" s="9">
        <f t="shared" si="6"/>
        <v>11666.666666666666</v>
      </c>
      <c r="I7" s="9">
        <f t="shared" si="6"/>
        <v>11666.666666666666</v>
      </c>
      <c r="J7" s="9">
        <f t="shared" si="6"/>
        <v>11666.666666666666</v>
      </c>
      <c r="K7" s="9">
        <f t="shared" si="6"/>
        <v>11666.666666666666</v>
      </c>
      <c r="L7" s="9">
        <f t="shared" si="6"/>
        <v>11666.666666666666</v>
      </c>
      <c r="M7" s="9">
        <f t="shared" si="6"/>
        <v>11666.666666666666</v>
      </c>
      <c r="N7" s="9">
        <f t="shared" si="6"/>
        <v>11666.666666666666</v>
      </c>
      <c r="O7" s="9">
        <f t="shared" si="6"/>
        <v>0</v>
      </c>
      <c r="P7" s="9">
        <f t="shared" si="6"/>
        <v>0</v>
      </c>
      <c r="Q7" s="9">
        <f t="shared" si="6"/>
        <v>0</v>
      </c>
      <c r="R7" s="9">
        <f t="shared" si="6"/>
        <v>0</v>
      </c>
      <c r="S7" s="9">
        <f t="shared" si="6"/>
        <v>0</v>
      </c>
      <c r="T7" s="9">
        <f t="shared" si="6"/>
        <v>0</v>
      </c>
      <c r="U7" s="9">
        <f t="shared" si="6"/>
        <v>0</v>
      </c>
      <c r="V7" s="9">
        <f t="shared" si="6"/>
        <v>0</v>
      </c>
      <c r="W7" s="9">
        <f t="shared" si="6"/>
        <v>0</v>
      </c>
      <c r="X7" s="9">
        <f t="shared" si="6"/>
        <v>0</v>
      </c>
      <c r="Y7" s="9">
        <f t="shared" si="6"/>
        <v>0</v>
      </c>
      <c r="Z7" s="9">
        <f t="shared" si="6"/>
        <v>0</v>
      </c>
      <c r="AA7" s="9">
        <f t="shared" si="6"/>
        <v>0</v>
      </c>
      <c r="AB7" s="9">
        <f t="shared" si="6"/>
        <v>0</v>
      </c>
      <c r="AC7" s="9">
        <f t="shared" si="6"/>
        <v>0</v>
      </c>
      <c r="AD7" s="9">
        <f t="shared" si="6"/>
        <v>0</v>
      </c>
      <c r="AE7" s="9">
        <f t="shared" si="6"/>
        <v>0</v>
      </c>
      <c r="AF7" s="9">
        <f t="shared" si="6"/>
        <v>0</v>
      </c>
      <c r="AG7" s="9">
        <f t="shared" si="6"/>
        <v>0</v>
      </c>
      <c r="AH7" s="9">
        <f t="shared" si="6"/>
        <v>0</v>
      </c>
      <c r="AI7" s="9">
        <f t="shared" ref="AI7:BJ7" si="7">AI5+AI6</f>
        <v>0</v>
      </c>
      <c r="AJ7" s="9">
        <f t="shared" si="7"/>
        <v>0</v>
      </c>
      <c r="AK7" s="9">
        <f t="shared" si="7"/>
        <v>0</v>
      </c>
      <c r="AL7" s="9">
        <f t="shared" si="7"/>
        <v>0</v>
      </c>
      <c r="AM7" s="9">
        <f t="shared" si="7"/>
        <v>0</v>
      </c>
      <c r="AN7" s="9">
        <f t="shared" si="7"/>
        <v>0</v>
      </c>
      <c r="AO7" s="9">
        <f t="shared" si="7"/>
        <v>0</v>
      </c>
      <c r="AP7" s="9">
        <f t="shared" si="7"/>
        <v>0</v>
      </c>
      <c r="AQ7" s="9">
        <f t="shared" si="7"/>
        <v>0</v>
      </c>
      <c r="AR7" s="9">
        <f t="shared" si="7"/>
        <v>0</v>
      </c>
      <c r="AS7" s="9">
        <f t="shared" si="7"/>
        <v>0</v>
      </c>
      <c r="AT7" s="9">
        <f t="shared" si="7"/>
        <v>0</v>
      </c>
      <c r="AU7" s="9">
        <f t="shared" si="7"/>
        <v>0</v>
      </c>
      <c r="AV7" s="9">
        <f t="shared" si="7"/>
        <v>0</v>
      </c>
      <c r="AW7" s="9">
        <f t="shared" si="7"/>
        <v>0</v>
      </c>
      <c r="AX7" s="9">
        <f t="shared" si="7"/>
        <v>0</v>
      </c>
      <c r="AY7" s="9">
        <f t="shared" si="7"/>
        <v>0</v>
      </c>
      <c r="AZ7" s="9">
        <f t="shared" si="7"/>
        <v>0</v>
      </c>
      <c r="BA7" s="9">
        <f t="shared" si="7"/>
        <v>0</v>
      </c>
      <c r="BB7" s="9">
        <f t="shared" si="7"/>
        <v>0</v>
      </c>
      <c r="BC7" s="9">
        <f t="shared" si="7"/>
        <v>0</v>
      </c>
      <c r="BD7" s="9">
        <f t="shared" si="7"/>
        <v>0</v>
      </c>
      <c r="BE7" s="9">
        <f t="shared" si="7"/>
        <v>0</v>
      </c>
      <c r="BF7" s="9">
        <f t="shared" si="7"/>
        <v>0</v>
      </c>
      <c r="BG7" s="9">
        <f t="shared" si="7"/>
        <v>0</v>
      </c>
      <c r="BH7" s="9">
        <f t="shared" si="7"/>
        <v>0</v>
      </c>
      <c r="BI7" s="9">
        <f t="shared" si="7"/>
        <v>0</v>
      </c>
      <c r="BJ7" s="9">
        <f t="shared" si="7"/>
        <v>0</v>
      </c>
    </row>
    <row r="8" spans="1:62" x14ac:dyDescent="0.25">
      <c r="B8" s="7" t="s">
        <v>250</v>
      </c>
      <c r="C8" s="9">
        <f t="shared" ref="C8:AH8" si="8">IF(AND(Refi_Toggle="ON",C2=Refi_Month),C4-C6,IF(AND(Refi_Toggle&lt;&gt;"ON",C2=Exit_Month),C4-C6,0))</f>
        <v>0</v>
      </c>
      <c r="D8" s="9">
        <f t="shared" si="8"/>
        <v>0</v>
      </c>
      <c r="E8" s="9">
        <f t="shared" si="8"/>
        <v>0</v>
      </c>
      <c r="F8" s="9">
        <f t="shared" si="8"/>
        <v>0</v>
      </c>
      <c r="G8" s="9">
        <f t="shared" si="8"/>
        <v>0</v>
      </c>
      <c r="H8" s="9">
        <f t="shared" si="8"/>
        <v>0</v>
      </c>
      <c r="I8" s="9">
        <f t="shared" si="8"/>
        <v>0</v>
      </c>
      <c r="J8" s="9">
        <f t="shared" si="8"/>
        <v>0</v>
      </c>
      <c r="K8" s="9">
        <f t="shared" si="8"/>
        <v>0</v>
      </c>
      <c r="L8" s="9">
        <f t="shared" si="8"/>
        <v>0</v>
      </c>
      <c r="M8" s="9">
        <f t="shared" si="8"/>
        <v>0</v>
      </c>
      <c r="N8" s="9">
        <f t="shared" si="8"/>
        <v>1400000</v>
      </c>
      <c r="O8" s="9">
        <f t="shared" si="8"/>
        <v>0</v>
      </c>
      <c r="P8" s="9">
        <f t="shared" si="8"/>
        <v>0</v>
      </c>
      <c r="Q8" s="9">
        <f t="shared" si="8"/>
        <v>0</v>
      </c>
      <c r="R8" s="9">
        <f t="shared" si="8"/>
        <v>0</v>
      </c>
      <c r="S8" s="9">
        <f t="shared" si="8"/>
        <v>0</v>
      </c>
      <c r="T8" s="9">
        <f t="shared" si="8"/>
        <v>0</v>
      </c>
      <c r="U8" s="9">
        <f t="shared" si="8"/>
        <v>0</v>
      </c>
      <c r="V8" s="9">
        <f t="shared" si="8"/>
        <v>0</v>
      </c>
      <c r="W8" s="9">
        <f t="shared" si="8"/>
        <v>0</v>
      </c>
      <c r="X8" s="9">
        <f t="shared" si="8"/>
        <v>0</v>
      </c>
      <c r="Y8" s="9">
        <f t="shared" si="8"/>
        <v>0</v>
      </c>
      <c r="Z8" s="9">
        <f t="shared" si="8"/>
        <v>0</v>
      </c>
      <c r="AA8" s="9">
        <f t="shared" si="8"/>
        <v>0</v>
      </c>
      <c r="AB8" s="9">
        <f t="shared" si="8"/>
        <v>0</v>
      </c>
      <c r="AC8" s="9">
        <f t="shared" si="8"/>
        <v>0</v>
      </c>
      <c r="AD8" s="9">
        <f t="shared" si="8"/>
        <v>0</v>
      </c>
      <c r="AE8" s="9">
        <f t="shared" si="8"/>
        <v>0</v>
      </c>
      <c r="AF8" s="9">
        <f t="shared" si="8"/>
        <v>0</v>
      </c>
      <c r="AG8" s="9">
        <f t="shared" si="8"/>
        <v>0</v>
      </c>
      <c r="AH8" s="9">
        <f t="shared" si="8"/>
        <v>0</v>
      </c>
      <c r="AI8" s="9">
        <f t="shared" ref="AI8:BJ8" si="9">IF(AND(Refi_Toggle="ON",AI2=Refi_Month),AI4-AI6,IF(AND(Refi_Toggle&lt;&gt;"ON",AI2=Exit_Month),AI4-AI6,0))</f>
        <v>0</v>
      </c>
      <c r="AJ8" s="9">
        <f t="shared" si="9"/>
        <v>0</v>
      </c>
      <c r="AK8" s="9">
        <f t="shared" si="9"/>
        <v>0</v>
      </c>
      <c r="AL8" s="9">
        <f t="shared" si="9"/>
        <v>0</v>
      </c>
      <c r="AM8" s="9">
        <f t="shared" si="9"/>
        <v>0</v>
      </c>
      <c r="AN8" s="9">
        <f t="shared" si="9"/>
        <v>0</v>
      </c>
      <c r="AO8" s="9">
        <f t="shared" si="9"/>
        <v>0</v>
      </c>
      <c r="AP8" s="9">
        <f t="shared" si="9"/>
        <v>0</v>
      </c>
      <c r="AQ8" s="9">
        <f t="shared" si="9"/>
        <v>0</v>
      </c>
      <c r="AR8" s="9">
        <f t="shared" si="9"/>
        <v>0</v>
      </c>
      <c r="AS8" s="9">
        <f t="shared" si="9"/>
        <v>0</v>
      </c>
      <c r="AT8" s="9">
        <f t="shared" si="9"/>
        <v>0</v>
      </c>
      <c r="AU8" s="9">
        <f t="shared" si="9"/>
        <v>0</v>
      </c>
      <c r="AV8" s="9">
        <f t="shared" si="9"/>
        <v>0</v>
      </c>
      <c r="AW8" s="9">
        <f t="shared" si="9"/>
        <v>0</v>
      </c>
      <c r="AX8" s="9">
        <f t="shared" si="9"/>
        <v>0</v>
      </c>
      <c r="AY8" s="9">
        <f t="shared" si="9"/>
        <v>0</v>
      </c>
      <c r="AZ8" s="9">
        <f t="shared" si="9"/>
        <v>0</v>
      </c>
      <c r="BA8" s="9">
        <f t="shared" si="9"/>
        <v>0</v>
      </c>
      <c r="BB8" s="9">
        <f t="shared" si="9"/>
        <v>0</v>
      </c>
      <c r="BC8" s="9">
        <f t="shared" si="9"/>
        <v>0</v>
      </c>
      <c r="BD8" s="9">
        <f t="shared" si="9"/>
        <v>0</v>
      </c>
      <c r="BE8" s="9">
        <f t="shared" si="9"/>
        <v>0</v>
      </c>
      <c r="BF8" s="9">
        <f t="shared" si="9"/>
        <v>0</v>
      </c>
      <c r="BG8" s="9">
        <f t="shared" si="9"/>
        <v>0</v>
      </c>
      <c r="BH8" s="9">
        <f t="shared" si="9"/>
        <v>0</v>
      </c>
      <c r="BI8" s="9">
        <f t="shared" si="9"/>
        <v>0</v>
      </c>
      <c r="BJ8" s="9">
        <f t="shared" si="9"/>
        <v>0</v>
      </c>
    </row>
    <row r="9" spans="1:62" x14ac:dyDescent="0.25">
      <c r="B9" s="15" t="s">
        <v>251</v>
      </c>
      <c r="C9" s="16">
        <f t="shared" ref="C9:AH9" si="10">C4-C6-C8</f>
        <v>1400000</v>
      </c>
      <c r="D9" s="16">
        <f t="shared" si="10"/>
        <v>1400000</v>
      </c>
      <c r="E9" s="16">
        <f t="shared" si="10"/>
        <v>1400000</v>
      </c>
      <c r="F9" s="16">
        <f t="shared" si="10"/>
        <v>1400000</v>
      </c>
      <c r="G9" s="16">
        <f t="shared" si="10"/>
        <v>1400000</v>
      </c>
      <c r="H9" s="16">
        <f t="shared" si="10"/>
        <v>1400000</v>
      </c>
      <c r="I9" s="16">
        <f t="shared" si="10"/>
        <v>1400000</v>
      </c>
      <c r="J9" s="16">
        <f t="shared" si="10"/>
        <v>1400000</v>
      </c>
      <c r="K9" s="16">
        <f t="shared" si="10"/>
        <v>1400000</v>
      </c>
      <c r="L9" s="16">
        <f t="shared" si="10"/>
        <v>1400000</v>
      </c>
      <c r="M9" s="16">
        <f t="shared" si="10"/>
        <v>1400000</v>
      </c>
      <c r="N9" s="16">
        <f t="shared" si="10"/>
        <v>0</v>
      </c>
      <c r="O9" s="16">
        <f t="shared" si="10"/>
        <v>0</v>
      </c>
      <c r="P9" s="16">
        <f t="shared" si="10"/>
        <v>0</v>
      </c>
      <c r="Q9" s="16">
        <f t="shared" si="10"/>
        <v>0</v>
      </c>
      <c r="R9" s="16">
        <f t="shared" si="10"/>
        <v>0</v>
      </c>
      <c r="S9" s="16">
        <f t="shared" si="10"/>
        <v>0</v>
      </c>
      <c r="T9" s="16">
        <f t="shared" si="10"/>
        <v>0</v>
      </c>
      <c r="U9" s="16">
        <f t="shared" si="10"/>
        <v>0</v>
      </c>
      <c r="V9" s="16">
        <f t="shared" si="10"/>
        <v>0</v>
      </c>
      <c r="W9" s="16">
        <f t="shared" si="10"/>
        <v>0</v>
      </c>
      <c r="X9" s="16">
        <f t="shared" si="10"/>
        <v>0</v>
      </c>
      <c r="Y9" s="16">
        <f t="shared" si="10"/>
        <v>0</v>
      </c>
      <c r="Z9" s="16">
        <f t="shared" si="10"/>
        <v>0</v>
      </c>
      <c r="AA9" s="16">
        <f t="shared" si="10"/>
        <v>0</v>
      </c>
      <c r="AB9" s="16">
        <f t="shared" si="10"/>
        <v>0</v>
      </c>
      <c r="AC9" s="16">
        <f t="shared" si="10"/>
        <v>0</v>
      </c>
      <c r="AD9" s="16">
        <f t="shared" si="10"/>
        <v>0</v>
      </c>
      <c r="AE9" s="16">
        <f t="shared" si="10"/>
        <v>0</v>
      </c>
      <c r="AF9" s="16">
        <f t="shared" si="10"/>
        <v>0</v>
      </c>
      <c r="AG9" s="16">
        <f t="shared" si="10"/>
        <v>0</v>
      </c>
      <c r="AH9" s="16">
        <f t="shared" si="10"/>
        <v>0</v>
      </c>
      <c r="AI9" s="16">
        <f t="shared" ref="AI9:BJ9" si="11">AI4-AI6-AI8</f>
        <v>0</v>
      </c>
      <c r="AJ9" s="16">
        <f t="shared" si="11"/>
        <v>0</v>
      </c>
      <c r="AK9" s="16">
        <f t="shared" si="11"/>
        <v>0</v>
      </c>
      <c r="AL9" s="16">
        <f t="shared" si="11"/>
        <v>0</v>
      </c>
      <c r="AM9" s="16">
        <f t="shared" si="11"/>
        <v>0</v>
      </c>
      <c r="AN9" s="16">
        <f t="shared" si="11"/>
        <v>0</v>
      </c>
      <c r="AO9" s="16">
        <f t="shared" si="11"/>
        <v>0</v>
      </c>
      <c r="AP9" s="16">
        <f t="shared" si="11"/>
        <v>0</v>
      </c>
      <c r="AQ9" s="16">
        <f t="shared" si="11"/>
        <v>0</v>
      </c>
      <c r="AR9" s="16">
        <f t="shared" si="11"/>
        <v>0</v>
      </c>
      <c r="AS9" s="16">
        <f t="shared" si="11"/>
        <v>0</v>
      </c>
      <c r="AT9" s="16">
        <f t="shared" si="11"/>
        <v>0</v>
      </c>
      <c r="AU9" s="16">
        <f t="shared" si="11"/>
        <v>0</v>
      </c>
      <c r="AV9" s="16">
        <f t="shared" si="11"/>
        <v>0</v>
      </c>
      <c r="AW9" s="16">
        <f t="shared" si="11"/>
        <v>0</v>
      </c>
      <c r="AX9" s="16">
        <f t="shared" si="11"/>
        <v>0</v>
      </c>
      <c r="AY9" s="16">
        <f t="shared" si="11"/>
        <v>0</v>
      </c>
      <c r="AZ9" s="16">
        <f t="shared" si="11"/>
        <v>0</v>
      </c>
      <c r="BA9" s="16">
        <f t="shared" si="11"/>
        <v>0</v>
      </c>
      <c r="BB9" s="16">
        <f t="shared" si="11"/>
        <v>0</v>
      </c>
      <c r="BC9" s="16">
        <f t="shared" si="11"/>
        <v>0</v>
      </c>
      <c r="BD9" s="16">
        <f t="shared" si="11"/>
        <v>0</v>
      </c>
      <c r="BE9" s="16">
        <f t="shared" si="11"/>
        <v>0</v>
      </c>
      <c r="BF9" s="16">
        <f t="shared" si="11"/>
        <v>0</v>
      </c>
      <c r="BG9" s="16">
        <f t="shared" si="11"/>
        <v>0</v>
      </c>
      <c r="BH9" s="16">
        <f t="shared" si="11"/>
        <v>0</v>
      </c>
      <c r="BI9" s="16">
        <f t="shared" si="11"/>
        <v>0</v>
      </c>
      <c r="BJ9" s="16">
        <f t="shared" si="11"/>
        <v>0</v>
      </c>
    </row>
    <row r="10" spans="1:62" x14ac:dyDescent="0.25">
      <c r="B10" s="7" t="s">
        <v>252</v>
      </c>
      <c r="C10" s="9">
        <f t="shared" ref="C10:AH10" si="12">IF(C2=1,Loan1_Amount*Orig_Fee1,0)</f>
        <v>28000</v>
      </c>
      <c r="D10" s="9">
        <f t="shared" si="12"/>
        <v>0</v>
      </c>
      <c r="E10" s="9">
        <f t="shared" si="12"/>
        <v>0</v>
      </c>
      <c r="F10" s="9">
        <f t="shared" si="12"/>
        <v>0</v>
      </c>
      <c r="G10" s="9">
        <f t="shared" si="12"/>
        <v>0</v>
      </c>
      <c r="H10" s="9">
        <f t="shared" si="12"/>
        <v>0</v>
      </c>
      <c r="I10" s="9">
        <f t="shared" si="12"/>
        <v>0</v>
      </c>
      <c r="J10" s="9">
        <f t="shared" si="12"/>
        <v>0</v>
      </c>
      <c r="K10" s="9">
        <f t="shared" si="12"/>
        <v>0</v>
      </c>
      <c r="L10" s="9">
        <f t="shared" si="12"/>
        <v>0</v>
      </c>
      <c r="M10" s="9">
        <f t="shared" si="12"/>
        <v>0</v>
      </c>
      <c r="N10" s="9">
        <f t="shared" si="12"/>
        <v>0</v>
      </c>
      <c r="O10" s="9">
        <f t="shared" si="12"/>
        <v>0</v>
      </c>
      <c r="P10" s="9">
        <f t="shared" si="12"/>
        <v>0</v>
      </c>
      <c r="Q10" s="9">
        <f t="shared" si="12"/>
        <v>0</v>
      </c>
      <c r="R10" s="9">
        <f t="shared" si="12"/>
        <v>0</v>
      </c>
      <c r="S10" s="9">
        <f t="shared" si="12"/>
        <v>0</v>
      </c>
      <c r="T10" s="9">
        <f t="shared" si="12"/>
        <v>0</v>
      </c>
      <c r="U10" s="9">
        <f t="shared" si="12"/>
        <v>0</v>
      </c>
      <c r="V10" s="9">
        <f t="shared" si="12"/>
        <v>0</v>
      </c>
      <c r="W10" s="9">
        <f t="shared" si="12"/>
        <v>0</v>
      </c>
      <c r="X10" s="9">
        <f t="shared" si="12"/>
        <v>0</v>
      </c>
      <c r="Y10" s="9">
        <f t="shared" si="12"/>
        <v>0</v>
      </c>
      <c r="Z10" s="9">
        <f t="shared" si="12"/>
        <v>0</v>
      </c>
      <c r="AA10" s="9">
        <f t="shared" si="12"/>
        <v>0</v>
      </c>
      <c r="AB10" s="9">
        <f t="shared" si="12"/>
        <v>0</v>
      </c>
      <c r="AC10" s="9">
        <f t="shared" si="12"/>
        <v>0</v>
      </c>
      <c r="AD10" s="9">
        <f t="shared" si="12"/>
        <v>0</v>
      </c>
      <c r="AE10" s="9">
        <f t="shared" si="12"/>
        <v>0</v>
      </c>
      <c r="AF10" s="9">
        <f t="shared" si="12"/>
        <v>0</v>
      </c>
      <c r="AG10" s="9">
        <f t="shared" si="12"/>
        <v>0</v>
      </c>
      <c r="AH10" s="9">
        <f t="shared" si="12"/>
        <v>0</v>
      </c>
      <c r="AI10" s="9">
        <f t="shared" ref="AI10:BJ10" si="13">IF(AI2=1,Loan1_Amount*Orig_Fee1,0)</f>
        <v>0</v>
      </c>
      <c r="AJ10" s="9">
        <f t="shared" si="13"/>
        <v>0</v>
      </c>
      <c r="AK10" s="9">
        <f t="shared" si="13"/>
        <v>0</v>
      </c>
      <c r="AL10" s="9">
        <f t="shared" si="13"/>
        <v>0</v>
      </c>
      <c r="AM10" s="9">
        <f t="shared" si="13"/>
        <v>0</v>
      </c>
      <c r="AN10" s="9">
        <f t="shared" si="13"/>
        <v>0</v>
      </c>
      <c r="AO10" s="9">
        <f t="shared" si="13"/>
        <v>0</v>
      </c>
      <c r="AP10" s="9">
        <f t="shared" si="13"/>
        <v>0</v>
      </c>
      <c r="AQ10" s="9">
        <f t="shared" si="13"/>
        <v>0</v>
      </c>
      <c r="AR10" s="9">
        <f t="shared" si="13"/>
        <v>0</v>
      </c>
      <c r="AS10" s="9">
        <f t="shared" si="13"/>
        <v>0</v>
      </c>
      <c r="AT10" s="9">
        <f t="shared" si="13"/>
        <v>0</v>
      </c>
      <c r="AU10" s="9">
        <f t="shared" si="13"/>
        <v>0</v>
      </c>
      <c r="AV10" s="9">
        <f t="shared" si="13"/>
        <v>0</v>
      </c>
      <c r="AW10" s="9">
        <f t="shared" si="13"/>
        <v>0</v>
      </c>
      <c r="AX10" s="9">
        <f t="shared" si="13"/>
        <v>0</v>
      </c>
      <c r="AY10" s="9">
        <f t="shared" si="13"/>
        <v>0</v>
      </c>
      <c r="AZ10" s="9">
        <f t="shared" si="13"/>
        <v>0</v>
      </c>
      <c r="BA10" s="9">
        <f t="shared" si="13"/>
        <v>0</v>
      </c>
      <c r="BB10" s="9">
        <f t="shared" si="13"/>
        <v>0</v>
      </c>
      <c r="BC10" s="9">
        <f t="shared" si="13"/>
        <v>0</v>
      </c>
      <c r="BD10" s="9">
        <f t="shared" si="13"/>
        <v>0</v>
      </c>
      <c r="BE10" s="9">
        <f t="shared" si="13"/>
        <v>0</v>
      </c>
      <c r="BF10" s="9">
        <f t="shared" si="13"/>
        <v>0</v>
      </c>
      <c r="BG10" s="9">
        <f t="shared" si="13"/>
        <v>0</v>
      </c>
      <c r="BH10" s="9">
        <f t="shared" si="13"/>
        <v>0</v>
      </c>
      <c r="BI10" s="9">
        <f t="shared" si="13"/>
        <v>0</v>
      </c>
      <c r="BJ10" s="9">
        <f t="shared" si="13"/>
        <v>0</v>
      </c>
    </row>
    <row r="12" spans="1:62" x14ac:dyDescent="0.25">
      <c r="B12" s="6" t="s">
        <v>253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</row>
    <row r="13" spans="1:62" x14ac:dyDescent="0.25">
      <c r="B13" s="7" t="s">
        <v>254</v>
      </c>
      <c r="C13" s="9">
        <f t="shared" ref="C13:AH13" si="14">IF(AND(Refi_Toggle="ON",C2=Refi_Month),Refi_Loan_Amt,0)</f>
        <v>0</v>
      </c>
      <c r="D13" s="9">
        <f t="shared" si="14"/>
        <v>0</v>
      </c>
      <c r="E13" s="9">
        <f t="shared" si="14"/>
        <v>0</v>
      </c>
      <c r="F13" s="9">
        <f t="shared" si="14"/>
        <v>0</v>
      </c>
      <c r="G13" s="9">
        <f t="shared" si="14"/>
        <v>0</v>
      </c>
      <c r="H13" s="9">
        <f t="shared" si="14"/>
        <v>0</v>
      </c>
      <c r="I13" s="9">
        <f t="shared" si="14"/>
        <v>0</v>
      </c>
      <c r="J13" s="9">
        <f t="shared" si="14"/>
        <v>0</v>
      </c>
      <c r="K13" s="9">
        <f t="shared" si="14"/>
        <v>0</v>
      </c>
      <c r="L13" s="9">
        <f t="shared" si="14"/>
        <v>0</v>
      </c>
      <c r="M13" s="9">
        <f t="shared" si="14"/>
        <v>0</v>
      </c>
      <c r="N13" s="9">
        <f t="shared" si="14"/>
        <v>2033910.8124999998</v>
      </c>
      <c r="O13" s="9">
        <f t="shared" si="14"/>
        <v>0</v>
      </c>
      <c r="P13" s="9">
        <f t="shared" si="14"/>
        <v>0</v>
      </c>
      <c r="Q13" s="9">
        <f t="shared" si="14"/>
        <v>0</v>
      </c>
      <c r="R13" s="9">
        <f t="shared" si="14"/>
        <v>0</v>
      </c>
      <c r="S13" s="9">
        <f t="shared" si="14"/>
        <v>0</v>
      </c>
      <c r="T13" s="9">
        <f t="shared" si="14"/>
        <v>0</v>
      </c>
      <c r="U13" s="9">
        <f t="shared" si="14"/>
        <v>0</v>
      </c>
      <c r="V13" s="9">
        <f t="shared" si="14"/>
        <v>0</v>
      </c>
      <c r="W13" s="9">
        <f t="shared" si="14"/>
        <v>0</v>
      </c>
      <c r="X13" s="9">
        <f t="shared" si="14"/>
        <v>0</v>
      </c>
      <c r="Y13" s="9">
        <f t="shared" si="14"/>
        <v>0</v>
      </c>
      <c r="Z13" s="9">
        <f t="shared" si="14"/>
        <v>0</v>
      </c>
      <c r="AA13" s="9">
        <f t="shared" si="14"/>
        <v>0</v>
      </c>
      <c r="AB13" s="9">
        <f t="shared" si="14"/>
        <v>0</v>
      </c>
      <c r="AC13" s="9">
        <f t="shared" si="14"/>
        <v>0</v>
      </c>
      <c r="AD13" s="9">
        <f t="shared" si="14"/>
        <v>0</v>
      </c>
      <c r="AE13" s="9">
        <f t="shared" si="14"/>
        <v>0</v>
      </c>
      <c r="AF13" s="9">
        <f t="shared" si="14"/>
        <v>0</v>
      </c>
      <c r="AG13" s="9">
        <f t="shared" si="14"/>
        <v>0</v>
      </c>
      <c r="AH13" s="9">
        <f t="shared" si="14"/>
        <v>0</v>
      </c>
      <c r="AI13" s="9">
        <f t="shared" ref="AI13:BJ13" si="15">IF(AND(Refi_Toggle="ON",AI2=Refi_Month),Refi_Loan_Amt,0)</f>
        <v>0</v>
      </c>
      <c r="AJ13" s="9">
        <f t="shared" si="15"/>
        <v>0</v>
      </c>
      <c r="AK13" s="9">
        <f t="shared" si="15"/>
        <v>0</v>
      </c>
      <c r="AL13" s="9">
        <f t="shared" si="15"/>
        <v>0</v>
      </c>
      <c r="AM13" s="9">
        <f t="shared" si="15"/>
        <v>0</v>
      </c>
      <c r="AN13" s="9">
        <f t="shared" si="15"/>
        <v>0</v>
      </c>
      <c r="AO13" s="9">
        <f t="shared" si="15"/>
        <v>0</v>
      </c>
      <c r="AP13" s="9">
        <f t="shared" si="15"/>
        <v>0</v>
      </c>
      <c r="AQ13" s="9">
        <f t="shared" si="15"/>
        <v>0</v>
      </c>
      <c r="AR13" s="9">
        <f t="shared" si="15"/>
        <v>0</v>
      </c>
      <c r="AS13" s="9">
        <f t="shared" si="15"/>
        <v>0</v>
      </c>
      <c r="AT13" s="9">
        <f t="shared" si="15"/>
        <v>0</v>
      </c>
      <c r="AU13" s="9">
        <f t="shared" si="15"/>
        <v>0</v>
      </c>
      <c r="AV13" s="9">
        <f t="shared" si="15"/>
        <v>0</v>
      </c>
      <c r="AW13" s="9">
        <f t="shared" si="15"/>
        <v>0</v>
      </c>
      <c r="AX13" s="9">
        <f t="shared" si="15"/>
        <v>0</v>
      </c>
      <c r="AY13" s="9">
        <f t="shared" si="15"/>
        <v>0</v>
      </c>
      <c r="AZ13" s="9">
        <f t="shared" si="15"/>
        <v>0</v>
      </c>
      <c r="BA13" s="9">
        <f t="shared" si="15"/>
        <v>0</v>
      </c>
      <c r="BB13" s="9">
        <f t="shared" si="15"/>
        <v>0</v>
      </c>
      <c r="BC13" s="9">
        <f t="shared" si="15"/>
        <v>0</v>
      </c>
      <c r="BD13" s="9">
        <f t="shared" si="15"/>
        <v>0</v>
      </c>
      <c r="BE13" s="9">
        <f t="shared" si="15"/>
        <v>0</v>
      </c>
      <c r="BF13" s="9">
        <f t="shared" si="15"/>
        <v>0</v>
      </c>
      <c r="BG13" s="9">
        <f t="shared" si="15"/>
        <v>0</v>
      </c>
      <c r="BH13" s="9">
        <f t="shared" si="15"/>
        <v>0</v>
      </c>
      <c r="BI13" s="9">
        <f t="shared" si="15"/>
        <v>0</v>
      </c>
      <c r="BJ13" s="9">
        <f t="shared" si="15"/>
        <v>0</v>
      </c>
    </row>
    <row r="14" spans="1:62" x14ac:dyDescent="0.25">
      <c r="B14" s="15" t="s">
        <v>246</v>
      </c>
      <c r="C14" s="8">
        <f>C13</f>
        <v>0</v>
      </c>
      <c r="D14" s="8">
        <f t="shared" ref="D14:AI14" si="16">C19+D13</f>
        <v>0</v>
      </c>
      <c r="E14" s="8">
        <f t="shared" si="16"/>
        <v>0</v>
      </c>
      <c r="F14" s="8">
        <f t="shared" si="16"/>
        <v>0</v>
      </c>
      <c r="G14" s="8">
        <f t="shared" si="16"/>
        <v>0</v>
      </c>
      <c r="H14" s="8">
        <f t="shared" si="16"/>
        <v>0</v>
      </c>
      <c r="I14" s="8">
        <f t="shared" si="16"/>
        <v>0</v>
      </c>
      <c r="J14" s="8">
        <f t="shared" si="16"/>
        <v>0</v>
      </c>
      <c r="K14" s="8">
        <f t="shared" si="16"/>
        <v>0</v>
      </c>
      <c r="L14" s="8">
        <f t="shared" si="16"/>
        <v>0</v>
      </c>
      <c r="M14" s="8">
        <f t="shared" si="16"/>
        <v>0</v>
      </c>
      <c r="N14" s="8">
        <f t="shared" si="16"/>
        <v>2033910.8124999998</v>
      </c>
      <c r="O14" s="8">
        <f t="shared" si="16"/>
        <v>2031497.7766964894</v>
      </c>
      <c r="P14" s="8">
        <f t="shared" si="16"/>
        <v>2029070.1621349996</v>
      </c>
      <c r="Q14" s="8">
        <f t="shared" si="16"/>
        <v>2026627.8807355342</v>
      </c>
      <c r="R14" s="8">
        <f t="shared" si="16"/>
        <v>2024170.843885947</v>
      </c>
      <c r="S14" s="8">
        <f t="shared" si="16"/>
        <v>2021698.9624387268</v>
      </c>
      <c r="T14" s="8">
        <f t="shared" si="16"/>
        <v>2019212.146707763</v>
      </c>
      <c r="U14" s="8">
        <f t="shared" si="16"/>
        <v>2016710.3064650912</v>
      </c>
      <c r="V14" s="8">
        <f t="shared" si="16"/>
        <v>2014193.35093762</v>
      </c>
      <c r="W14" s="8">
        <f t="shared" si="16"/>
        <v>2011661.1888038372</v>
      </c>
      <c r="X14" s="8">
        <f t="shared" si="16"/>
        <v>2009113.7281904959</v>
      </c>
      <c r="Y14" s="8">
        <f t="shared" si="16"/>
        <v>2006550.8766692823</v>
      </c>
      <c r="Z14" s="8">
        <f t="shared" si="16"/>
        <v>2003972.5412534615</v>
      </c>
      <c r="AA14" s="8">
        <f t="shared" si="16"/>
        <v>2001378.6283945034</v>
      </c>
      <c r="AB14" s="8">
        <f t="shared" si="16"/>
        <v>1998769.043978689</v>
      </c>
      <c r="AC14" s="8">
        <f t="shared" si="16"/>
        <v>1996143.6933236958</v>
      </c>
      <c r="AD14" s="8">
        <f t="shared" si="16"/>
        <v>1993502.4811751621</v>
      </c>
      <c r="AE14" s="8">
        <f t="shared" si="16"/>
        <v>1990845.311703231</v>
      </c>
      <c r="AF14" s="8">
        <f t="shared" si="16"/>
        <v>1988172.0884990736</v>
      </c>
      <c r="AG14" s="8">
        <f t="shared" si="16"/>
        <v>1985482.714571391</v>
      </c>
      <c r="AH14" s="8">
        <f t="shared" si="16"/>
        <v>1982777.0923428955</v>
      </c>
      <c r="AI14" s="8">
        <f t="shared" si="16"/>
        <v>1980055.1236467694</v>
      </c>
      <c r="AJ14" s="8">
        <f t="shared" ref="AJ14:BJ14" si="17">AI19+AJ13</f>
        <v>1977316.7097231043</v>
      </c>
      <c r="AK14" s="8">
        <f t="shared" si="17"/>
        <v>1974561.7512153168</v>
      </c>
      <c r="AL14" s="8">
        <f t="shared" si="17"/>
        <v>1971790.148166545</v>
      </c>
      <c r="AM14" s="8">
        <f t="shared" si="17"/>
        <v>1969001.8000160202</v>
      </c>
      <c r="AN14" s="8">
        <f t="shared" si="17"/>
        <v>1966196.6055954192</v>
      </c>
      <c r="AO14" s="8">
        <f t="shared" si="17"/>
        <v>1963374.4631251937</v>
      </c>
      <c r="AP14" s="8">
        <f t="shared" si="17"/>
        <v>1960535.2702108773</v>
      </c>
      <c r="AQ14" s="8">
        <f t="shared" si="17"/>
        <v>1957678.9238393703</v>
      </c>
      <c r="AR14" s="8">
        <f t="shared" si="17"/>
        <v>1954805.320375202</v>
      </c>
      <c r="AS14" s="8">
        <f t="shared" si="17"/>
        <v>1951914.3555567712</v>
      </c>
      <c r="AT14" s="8">
        <f t="shared" si="17"/>
        <v>1949005.9244925622</v>
      </c>
      <c r="AU14" s="8">
        <f t="shared" si="17"/>
        <v>1946079.9216573404</v>
      </c>
      <c r="AV14" s="8">
        <f t="shared" si="17"/>
        <v>1943136.2408883225</v>
      </c>
      <c r="AW14" s="8">
        <f t="shared" si="17"/>
        <v>1940174.775381325</v>
      </c>
      <c r="AX14" s="8">
        <f t="shared" si="17"/>
        <v>1937195.4176868894</v>
      </c>
      <c r="AY14" s="8">
        <f t="shared" si="17"/>
        <v>1934198.0597063834</v>
      </c>
      <c r="AZ14" s="8">
        <f t="shared" si="17"/>
        <v>1931182.5926880783</v>
      </c>
      <c r="BA14" s="8">
        <f t="shared" si="17"/>
        <v>1928148.9072232044</v>
      </c>
      <c r="BB14" s="8">
        <f t="shared" si="17"/>
        <v>1925096.8932419801</v>
      </c>
      <c r="BC14" s="8">
        <f t="shared" si="17"/>
        <v>1922026.4400096193</v>
      </c>
      <c r="BD14" s="8">
        <f t="shared" si="17"/>
        <v>1918937.4361223131</v>
      </c>
      <c r="BE14" s="8">
        <f t="shared" si="17"/>
        <v>1915829.7695031876</v>
      </c>
      <c r="BF14" s="8">
        <f t="shared" si="17"/>
        <v>1912703.3273982382</v>
      </c>
      <c r="BG14" s="8">
        <f t="shared" si="17"/>
        <v>1909557.9963722383</v>
      </c>
      <c r="BH14" s="8">
        <f t="shared" si="17"/>
        <v>1906393.6623046228</v>
      </c>
      <c r="BI14" s="8">
        <f t="shared" si="17"/>
        <v>1903210.2103853489</v>
      </c>
      <c r="BJ14" s="8">
        <f t="shared" si="17"/>
        <v>1900007.5251107293</v>
      </c>
    </row>
    <row r="15" spans="1:62" x14ac:dyDescent="0.25">
      <c r="B15" s="7" t="s">
        <v>247</v>
      </c>
      <c r="C15" s="9">
        <f t="shared" ref="C15:AH15" si="18">C14*Refi_Rate/12</f>
        <v>0</v>
      </c>
      <c r="D15" s="9">
        <f t="shared" si="18"/>
        <v>0</v>
      </c>
      <c r="E15" s="9">
        <f t="shared" si="18"/>
        <v>0</v>
      </c>
      <c r="F15" s="9">
        <f t="shared" si="18"/>
        <v>0</v>
      </c>
      <c r="G15" s="9">
        <f t="shared" si="18"/>
        <v>0</v>
      </c>
      <c r="H15" s="9">
        <f t="shared" si="18"/>
        <v>0</v>
      </c>
      <c r="I15" s="9">
        <f t="shared" si="18"/>
        <v>0</v>
      </c>
      <c r="J15" s="9">
        <f t="shared" si="18"/>
        <v>0</v>
      </c>
      <c r="K15" s="9">
        <f t="shared" si="18"/>
        <v>0</v>
      </c>
      <c r="L15" s="9">
        <f t="shared" si="18"/>
        <v>0</v>
      </c>
      <c r="M15" s="9">
        <f t="shared" si="18"/>
        <v>0</v>
      </c>
      <c r="N15" s="9">
        <f t="shared" si="18"/>
        <v>12288.211158854165</v>
      </c>
      <c r="O15" s="9">
        <f t="shared" si="18"/>
        <v>12273.632400874623</v>
      </c>
      <c r="P15" s="9">
        <f t="shared" si="18"/>
        <v>12258.965562898955</v>
      </c>
      <c r="Q15" s="9">
        <f t="shared" si="18"/>
        <v>12244.210112777184</v>
      </c>
      <c r="R15" s="9">
        <f t="shared" si="18"/>
        <v>12229.365515144264</v>
      </c>
      <c r="S15" s="9">
        <f t="shared" si="18"/>
        <v>12214.43123140064</v>
      </c>
      <c r="T15" s="9">
        <f t="shared" si="18"/>
        <v>12199.406719692734</v>
      </c>
      <c r="U15" s="9">
        <f t="shared" si="18"/>
        <v>12184.291434893259</v>
      </c>
      <c r="V15" s="9">
        <f t="shared" si="18"/>
        <v>12169.084828581452</v>
      </c>
      <c r="W15" s="9">
        <f t="shared" si="18"/>
        <v>12153.786349023183</v>
      </c>
      <c r="X15" s="9">
        <f t="shared" si="18"/>
        <v>12138.395441150911</v>
      </c>
      <c r="Y15" s="9">
        <f t="shared" si="18"/>
        <v>12122.911546543581</v>
      </c>
      <c r="Z15" s="9">
        <f t="shared" si="18"/>
        <v>12107.334103406329</v>
      </c>
      <c r="AA15" s="9">
        <f t="shared" si="18"/>
        <v>12091.662546550122</v>
      </c>
      <c r="AB15" s="9">
        <f t="shared" si="18"/>
        <v>12075.896307371246</v>
      </c>
      <c r="AC15" s="9">
        <f t="shared" si="18"/>
        <v>12060.03481383066</v>
      </c>
      <c r="AD15" s="9">
        <f t="shared" si="18"/>
        <v>12044.07749043327</v>
      </c>
      <c r="AE15" s="9">
        <f t="shared" si="18"/>
        <v>12028.023758207019</v>
      </c>
      <c r="AF15" s="9">
        <f t="shared" si="18"/>
        <v>12011.873034681901</v>
      </c>
      <c r="AG15" s="9">
        <f t="shared" si="18"/>
        <v>11995.624733868819</v>
      </c>
      <c r="AH15" s="9">
        <f t="shared" si="18"/>
        <v>11979.278266238325</v>
      </c>
      <c r="AI15" s="9">
        <f t="shared" ref="AI15:BJ15" si="19">AI14*Refi_Rate/12</f>
        <v>11962.833038699231</v>
      </c>
      <c r="AJ15" s="9">
        <f t="shared" si="19"/>
        <v>11946.288454577087</v>
      </c>
      <c r="AK15" s="9">
        <f t="shared" si="19"/>
        <v>11929.643913592539</v>
      </c>
      <c r="AL15" s="9">
        <f t="shared" si="19"/>
        <v>11912.898811839543</v>
      </c>
      <c r="AM15" s="9">
        <f t="shared" si="19"/>
        <v>11896.052541763454</v>
      </c>
      <c r="AN15" s="9">
        <f t="shared" si="19"/>
        <v>11879.104492138991</v>
      </c>
      <c r="AO15" s="9">
        <f t="shared" si="19"/>
        <v>11862.054048048043</v>
      </c>
      <c r="AP15" s="9">
        <f t="shared" si="19"/>
        <v>11844.900590857382</v>
      </c>
      <c r="AQ15" s="9">
        <f t="shared" si="19"/>
        <v>11827.643498196194</v>
      </c>
      <c r="AR15" s="9">
        <f t="shared" si="19"/>
        <v>11810.282143933511</v>
      </c>
      <c r="AS15" s="9">
        <f t="shared" si="19"/>
        <v>11792.815898155493</v>
      </c>
      <c r="AT15" s="9">
        <f t="shared" si="19"/>
        <v>11775.244127142563</v>
      </c>
      <c r="AU15" s="9">
        <f t="shared" si="19"/>
        <v>11757.566193346431</v>
      </c>
      <c r="AV15" s="9">
        <f t="shared" si="19"/>
        <v>11739.781455366947</v>
      </c>
      <c r="AW15" s="9">
        <f t="shared" si="19"/>
        <v>11721.889267928838</v>
      </c>
      <c r="AX15" s="9">
        <f t="shared" si="19"/>
        <v>11703.88898185829</v>
      </c>
      <c r="AY15" s="9">
        <f t="shared" si="19"/>
        <v>11685.779944059397</v>
      </c>
      <c r="AZ15" s="9">
        <f t="shared" si="19"/>
        <v>11667.561497490473</v>
      </c>
      <c r="BA15" s="9">
        <f t="shared" si="19"/>
        <v>11649.232981140192</v>
      </c>
      <c r="BB15" s="9">
        <f t="shared" si="19"/>
        <v>11630.793730003628</v>
      </c>
      <c r="BC15" s="9">
        <f t="shared" si="19"/>
        <v>11612.243075058117</v>
      </c>
      <c r="BD15" s="9">
        <f t="shared" si="19"/>
        <v>11593.580343238975</v>
      </c>
      <c r="BE15" s="9">
        <f t="shared" si="19"/>
        <v>11574.804857415091</v>
      </c>
      <c r="BF15" s="9">
        <f t="shared" si="19"/>
        <v>11555.915936364356</v>
      </c>
      <c r="BG15" s="9">
        <f t="shared" si="19"/>
        <v>11536.912894748939</v>
      </c>
      <c r="BH15" s="9">
        <f t="shared" si="19"/>
        <v>11517.795043090429</v>
      </c>
      <c r="BI15" s="9">
        <f t="shared" si="19"/>
        <v>11498.561687744814</v>
      </c>
      <c r="BJ15" s="9">
        <f t="shared" si="19"/>
        <v>11479.212130877322</v>
      </c>
    </row>
    <row r="16" spans="1:62" x14ac:dyDescent="0.25">
      <c r="B16" s="7" t="s">
        <v>248</v>
      </c>
      <c r="C16" s="9">
        <f t="shared" ref="C16:AH16" si="20">IF(Refi_Toggle&lt;&gt;"ON",0,IF(C14=0,0,IF((C2-Refi_Month+1)&lt;=Refi_IO,0,PPMT(Refi_Rate/12,(C2-Refi_Month+1)-Refi_IO,Refi_Amort*12,-Refi_Loan_Amt))))</f>
        <v>0</v>
      </c>
      <c r="D16" s="9">
        <f t="shared" si="20"/>
        <v>0</v>
      </c>
      <c r="E16" s="9">
        <f t="shared" si="20"/>
        <v>0</v>
      </c>
      <c r="F16" s="9">
        <f t="shared" si="20"/>
        <v>0</v>
      </c>
      <c r="G16" s="9">
        <f t="shared" si="20"/>
        <v>0</v>
      </c>
      <c r="H16" s="9">
        <f t="shared" si="20"/>
        <v>0</v>
      </c>
      <c r="I16" s="9">
        <f t="shared" si="20"/>
        <v>0</v>
      </c>
      <c r="J16" s="9">
        <f t="shared" si="20"/>
        <v>0</v>
      </c>
      <c r="K16" s="9">
        <f t="shared" si="20"/>
        <v>0</v>
      </c>
      <c r="L16" s="9">
        <f t="shared" si="20"/>
        <v>0</v>
      </c>
      <c r="M16" s="9">
        <f t="shared" si="20"/>
        <v>0</v>
      </c>
      <c r="N16" s="9">
        <f t="shared" si="20"/>
        <v>2413.035803510264</v>
      </c>
      <c r="O16" s="9">
        <f t="shared" si="20"/>
        <v>2427.6145614898051</v>
      </c>
      <c r="P16" s="9">
        <f t="shared" si="20"/>
        <v>2442.281399465473</v>
      </c>
      <c r="Q16" s="9">
        <f t="shared" si="20"/>
        <v>2457.0368495872435</v>
      </c>
      <c r="R16" s="9">
        <f t="shared" si="20"/>
        <v>2471.8814472201661</v>
      </c>
      <c r="S16" s="9">
        <f t="shared" si="20"/>
        <v>2486.8157309637882</v>
      </c>
      <c r="T16" s="9">
        <f t="shared" si="20"/>
        <v>2501.8402426716943</v>
      </c>
      <c r="U16" s="9">
        <f t="shared" si="20"/>
        <v>2516.9555274711688</v>
      </c>
      <c r="V16" s="9">
        <f t="shared" si="20"/>
        <v>2532.1621337829743</v>
      </c>
      <c r="W16" s="9">
        <f t="shared" si="20"/>
        <v>2547.4606133412467</v>
      </c>
      <c r="X16" s="9">
        <f t="shared" si="20"/>
        <v>2562.8515212135158</v>
      </c>
      <c r="Y16" s="9">
        <f t="shared" si="20"/>
        <v>2578.3354158208481</v>
      </c>
      <c r="Z16" s="9">
        <f t="shared" si="20"/>
        <v>2593.9128589580992</v>
      </c>
      <c r="AA16" s="9">
        <f t="shared" si="20"/>
        <v>2609.5844158143045</v>
      </c>
      <c r="AB16" s="9">
        <f t="shared" si="20"/>
        <v>2625.3506549931822</v>
      </c>
      <c r="AC16" s="9">
        <f t="shared" si="20"/>
        <v>2641.2121485337661</v>
      </c>
      <c r="AD16" s="9">
        <f t="shared" si="20"/>
        <v>2657.1694719311577</v>
      </c>
      <c r="AE16" s="9">
        <f t="shared" si="20"/>
        <v>2673.223204157408</v>
      </c>
      <c r="AF16" s="9">
        <f t="shared" si="20"/>
        <v>2689.3739276825258</v>
      </c>
      <c r="AG16" s="9">
        <f t="shared" si="20"/>
        <v>2705.6222284956079</v>
      </c>
      <c r="AH16" s="9">
        <f t="shared" si="20"/>
        <v>2721.9686961261018</v>
      </c>
      <c r="AI16" s="9">
        <f t="shared" ref="AI16:BJ16" si="21">IF(Refi_Toggle&lt;&gt;"ON",0,IF(AI14=0,0,IF((AI2-Refi_Month+1)&lt;=Refi_IO,0,PPMT(Refi_Rate/12,(AI2-Refi_Month+1)-Refi_IO,Refi_Amort*12,-Refi_Loan_Amt))))</f>
        <v>2738.4139236651972</v>
      </c>
      <c r="AJ16" s="9">
        <f t="shared" si="21"/>
        <v>2754.9585077873417</v>
      </c>
      <c r="AK16" s="9">
        <f t="shared" si="21"/>
        <v>2771.6030487718895</v>
      </c>
      <c r="AL16" s="9">
        <f t="shared" si="21"/>
        <v>2788.3481505248869</v>
      </c>
      <c r="AM16" s="9">
        <f t="shared" si="21"/>
        <v>2805.1944206009744</v>
      </c>
      <c r="AN16" s="9">
        <f t="shared" si="21"/>
        <v>2822.142470225439</v>
      </c>
      <c r="AO16" s="9">
        <f t="shared" si="21"/>
        <v>2839.1929143163838</v>
      </c>
      <c r="AP16" s="9">
        <f t="shared" si="21"/>
        <v>2856.3463715070457</v>
      </c>
      <c r="AQ16" s="9">
        <f t="shared" si="21"/>
        <v>2873.603464168234</v>
      </c>
      <c r="AR16" s="9">
        <f t="shared" si="21"/>
        <v>2890.9648184309167</v>
      </c>
      <c r="AS16" s="9">
        <f t="shared" si="21"/>
        <v>2908.4310642089372</v>
      </c>
      <c r="AT16" s="9">
        <f t="shared" si="21"/>
        <v>2926.0028352218665</v>
      </c>
      <c r="AU16" s="9">
        <f t="shared" si="21"/>
        <v>2943.680769017998</v>
      </c>
      <c r="AV16" s="9">
        <f t="shared" si="21"/>
        <v>2961.4655069974824</v>
      </c>
      <c r="AW16" s="9">
        <f t="shared" si="21"/>
        <v>2979.3576944355918</v>
      </c>
      <c r="AX16" s="9">
        <f t="shared" si="21"/>
        <v>2997.3579805061399</v>
      </c>
      <c r="AY16" s="9">
        <f t="shared" si="21"/>
        <v>3015.4670183050316</v>
      </c>
      <c r="AZ16" s="9">
        <f t="shared" si="21"/>
        <v>3033.6854648739577</v>
      </c>
      <c r="BA16" s="9">
        <f t="shared" si="21"/>
        <v>3052.0139812242383</v>
      </c>
      <c r="BB16" s="9">
        <f t="shared" si="21"/>
        <v>3070.4532323608009</v>
      </c>
      <c r="BC16" s="9">
        <f t="shared" si="21"/>
        <v>3089.0038873063145</v>
      </c>
      <c r="BD16" s="9">
        <f t="shared" si="21"/>
        <v>3107.6666191254571</v>
      </c>
      <c r="BE16" s="9">
        <f t="shared" si="21"/>
        <v>3126.4421049493394</v>
      </c>
      <c r="BF16" s="9">
        <f t="shared" si="21"/>
        <v>3145.3310260000749</v>
      </c>
      <c r="BG16" s="9">
        <f t="shared" si="21"/>
        <v>3164.3340676154921</v>
      </c>
      <c r="BH16" s="9">
        <f t="shared" si="21"/>
        <v>3183.4519192740026</v>
      </c>
      <c r="BI16" s="9">
        <f t="shared" si="21"/>
        <v>3202.6852746196159</v>
      </c>
      <c r="BJ16" s="9">
        <f t="shared" si="21"/>
        <v>3222.0348314871094</v>
      </c>
    </row>
    <row r="17" spans="2:62" x14ac:dyDescent="0.25">
      <c r="B17" s="7" t="s">
        <v>249</v>
      </c>
      <c r="C17" s="9">
        <f t="shared" ref="C17:AH17" si="22">C15+C16</f>
        <v>0</v>
      </c>
      <c r="D17" s="9">
        <f t="shared" si="22"/>
        <v>0</v>
      </c>
      <c r="E17" s="9">
        <f t="shared" si="22"/>
        <v>0</v>
      </c>
      <c r="F17" s="9">
        <f t="shared" si="22"/>
        <v>0</v>
      </c>
      <c r="G17" s="9">
        <f t="shared" si="22"/>
        <v>0</v>
      </c>
      <c r="H17" s="9">
        <f t="shared" si="22"/>
        <v>0</v>
      </c>
      <c r="I17" s="9">
        <f t="shared" si="22"/>
        <v>0</v>
      </c>
      <c r="J17" s="9">
        <f t="shared" si="22"/>
        <v>0</v>
      </c>
      <c r="K17" s="9">
        <f t="shared" si="22"/>
        <v>0</v>
      </c>
      <c r="L17" s="9">
        <f t="shared" si="22"/>
        <v>0</v>
      </c>
      <c r="M17" s="9">
        <f t="shared" si="22"/>
        <v>0</v>
      </c>
      <c r="N17" s="9">
        <f t="shared" si="22"/>
        <v>14701.246962364428</v>
      </c>
      <c r="O17" s="9">
        <f t="shared" si="22"/>
        <v>14701.246962364428</v>
      </c>
      <c r="P17" s="9">
        <f t="shared" si="22"/>
        <v>14701.246962364428</v>
      </c>
      <c r="Q17" s="9">
        <f t="shared" si="22"/>
        <v>14701.246962364428</v>
      </c>
      <c r="R17" s="9">
        <f t="shared" si="22"/>
        <v>14701.24696236443</v>
      </c>
      <c r="S17" s="9">
        <f t="shared" si="22"/>
        <v>14701.246962364428</v>
      </c>
      <c r="T17" s="9">
        <f t="shared" si="22"/>
        <v>14701.246962364428</v>
      </c>
      <c r="U17" s="9">
        <f t="shared" si="22"/>
        <v>14701.246962364428</v>
      </c>
      <c r="V17" s="9">
        <f t="shared" si="22"/>
        <v>14701.246962364427</v>
      </c>
      <c r="W17" s="9">
        <f t="shared" si="22"/>
        <v>14701.24696236443</v>
      </c>
      <c r="X17" s="9">
        <f t="shared" si="22"/>
        <v>14701.246962364427</v>
      </c>
      <c r="Y17" s="9">
        <f t="shared" si="22"/>
        <v>14701.246962364428</v>
      </c>
      <c r="Z17" s="9">
        <f t="shared" si="22"/>
        <v>14701.246962364428</v>
      </c>
      <c r="AA17" s="9">
        <f t="shared" si="22"/>
        <v>14701.246962364427</v>
      </c>
      <c r="AB17" s="9">
        <f t="shared" si="22"/>
        <v>14701.246962364428</v>
      </c>
      <c r="AC17" s="9">
        <f t="shared" si="22"/>
        <v>14701.246962364427</v>
      </c>
      <c r="AD17" s="9">
        <f t="shared" si="22"/>
        <v>14701.246962364428</v>
      </c>
      <c r="AE17" s="9">
        <f t="shared" si="22"/>
        <v>14701.246962364427</v>
      </c>
      <c r="AF17" s="9">
        <f t="shared" si="22"/>
        <v>14701.246962364427</v>
      </c>
      <c r="AG17" s="9">
        <f t="shared" si="22"/>
        <v>14701.246962364427</v>
      </c>
      <c r="AH17" s="9">
        <f t="shared" si="22"/>
        <v>14701.246962364427</v>
      </c>
      <c r="AI17" s="9">
        <f t="shared" ref="AI17:BJ17" si="23">AI15+AI16</f>
        <v>14701.246962364428</v>
      </c>
      <c r="AJ17" s="9">
        <f t="shared" si="23"/>
        <v>14701.246962364428</v>
      </c>
      <c r="AK17" s="9">
        <f t="shared" si="23"/>
        <v>14701.246962364428</v>
      </c>
      <c r="AL17" s="9">
        <f t="shared" si="23"/>
        <v>14701.24696236443</v>
      </c>
      <c r="AM17" s="9">
        <f t="shared" si="23"/>
        <v>14701.246962364428</v>
      </c>
      <c r="AN17" s="9">
        <f t="shared" si="23"/>
        <v>14701.24696236443</v>
      </c>
      <c r="AO17" s="9">
        <f t="shared" si="23"/>
        <v>14701.246962364427</v>
      </c>
      <c r="AP17" s="9">
        <f t="shared" si="23"/>
        <v>14701.246962364428</v>
      </c>
      <c r="AQ17" s="9">
        <f t="shared" si="23"/>
        <v>14701.246962364428</v>
      </c>
      <c r="AR17" s="9">
        <f t="shared" si="23"/>
        <v>14701.246962364428</v>
      </c>
      <c r="AS17" s="9">
        <f t="shared" si="23"/>
        <v>14701.24696236443</v>
      </c>
      <c r="AT17" s="9">
        <f t="shared" si="23"/>
        <v>14701.24696236443</v>
      </c>
      <c r="AU17" s="9">
        <f t="shared" si="23"/>
        <v>14701.246962364428</v>
      </c>
      <c r="AV17" s="9">
        <f t="shared" si="23"/>
        <v>14701.246962364428</v>
      </c>
      <c r="AW17" s="9">
        <f t="shared" si="23"/>
        <v>14701.24696236443</v>
      </c>
      <c r="AX17" s="9">
        <f t="shared" si="23"/>
        <v>14701.24696236443</v>
      </c>
      <c r="AY17" s="9">
        <f t="shared" si="23"/>
        <v>14701.246962364428</v>
      </c>
      <c r="AZ17" s="9">
        <f t="shared" si="23"/>
        <v>14701.24696236443</v>
      </c>
      <c r="BA17" s="9">
        <f t="shared" si="23"/>
        <v>14701.24696236443</v>
      </c>
      <c r="BB17" s="9">
        <f t="shared" si="23"/>
        <v>14701.246962364428</v>
      </c>
      <c r="BC17" s="9">
        <f t="shared" si="23"/>
        <v>14701.246962364432</v>
      </c>
      <c r="BD17" s="9">
        <f t="shared" si="23"/>
        <v>14701.246962364432</v>
      </c>
      <c r="BE17" s="9">
        <f t="shared" si="23"/>
        <v>14701.24696236443</v>
      </c>
      <c r="BF17" s="9">
        <f t="shared" si="23"/>
        <v>14701.24696236443</v>
      </c>
      <c r="BG17" s="9">
        <f t="shared" si="23"/>
        <v>14701.246962364432</v>
      </c>
      <c r="BH17" s="9">
        <f t="shared" si="23"/>
        <v>14701.246962364432</v>
      </c>
      <c r="BI17" s="9">
        <f t="shared" si="23"/>
        <v>14701.24696236443</v>
      </c>
      <c r="BJ17" s="9">
        <f t="shared" si="23"/>
        <v>14701.246962364432</v>
      </c>
    </row>
    <row r="18" spans="2:62" x14ac:dyDescent="0.25">
      <c r="B18" s="7" t="s">
        <v>250</v>
      </c>
      <c r="C18" s="9">
        <f t="shared" ref="C18:AH18" si="24">IF(AND(Refi_Toggle="ON",C2=Exit_Month),C14-C16,0)</f>
        <v>0</v>
      </c>
      <c r="D18" s="9">
        <f t="shared" si="24"/>
        <v>0</v>
      </c>
      <c r="E18" s="9">
        <f t="shared" si="24"/>
        <v>0</v>
      </c>
      <c r="F18" s="9">
        <f t="shared" si="24"/>
        <v>0</v>
      </c>
      <c r="G18" s="9">
        <f t="shared" si="24"/>
        <v>0</v>
      </c>
      <c r="H18" s="9">
        <f t="shared" si="24"/>
        <v>0</v>
      </c>
      <c r="I18" s="9">
        <f t="shared" si="24"/>
        <v>0</v>
      </c>
      <c r="J18" s="9">
        <f t="shared" si="24"/>
        <v>0</v>
      </c>
      <c r="K18" s="9">
        <f t="shared" si="24"/>
        <v>0</v>
      </c>
      <c r="L18" s="9">
        <f t="shared" si="24"/>
        <v>0</v>
      </c>
      <c r="M18" s="9">
        <f t="shared" si="24"/>
        <v>0</v>
      </c>
      <c r="N18" s="9">
        <f t="shared" si="24"/>
        <v>0</v>
      </c>
      <c r="O18" s="9">
        <f t="shared" si="24"/>
        <v>0</v>
      </c>
      <c r="P18" s="9">
        <f t="shared" si="24"/>
        <v>0</v>
      </c>
      <c r="Q18" s="9">
        <f t="shared" si="24"/>
        <v>0</v>
      </c>
      <c r="R18" s="9">
        <f t="shared" si="24"/>
        <v>0</v>
      </c>
      <c r="S18" s="9">
        <f t="shared" si="24"/>
        <v>0</v>
      </c>
      <c r="T18" s="9">
        <f t="shared" si="24"/>
        <v>0</v>
      </c>
      <c r="U18" s="9">
        <f t="shared" si="24"/>
        <v>0</v>
      </c>
      <c r="V18" s="9">
        <f t="shared" si="24"/>
        <v>0</v>
      </c>
      <c r="W18" s="9">
        <f t="shared" si="24"/>
        <v>0</v>
      </c>
      <c r="X18" s="9">
        <f t="shared" si="24"/>
        <v>0</v>
      </c>
      <c r="Y18" s="9">
        <f t="shared" si="24"/>
        <v>0</v>
      </c>
      <c r="Z18" s="9">
        <f t="shared" si="24"/>
        <v>0</v>
      </c>
      <c r="AA18" s="9">
        <f t="shared" si="24"/>
        <v>0</v>
      </c>
      <c r="AB18" s="9">
        <f t="shared" si="24"/>
        <v>0</v>
      </c>
      <c r="AC18" s="9">
        <f t="shared" si="24"/>
        <v>0</v>
      </c>
      <c r="AD18" s="9">
        <f t="shared" si="24"/>
        <v>0</v>
      </c>
      <c r="AE18" s="9">
        <f t="shared" si="24"/>
        <v>0</v>
      </c>
      <c r="AF18" s="9">
        <f t="shared" si="24"/>
        <v>0</v>
      </c>
      <c r="AG18" s="9">
        <f t="shared" si="24"/>
        <v>0</v>
      </c>
      <c r="AH18" s="9">
        <f t="shared" si="24"/>
        <v>0</v>
      </c>
      <c r="AI18" s="9">
        <f t="shared" ref="AI18:BJ18" si="25">IF(AND(Refi_Toggle="ON",AI2=Exit_Month),AI14-AI16,0)</f>
        <v>0</v>
      </c>
      <c r="AJ18" s="9">
        <f t="shared" si="25"/>
        <v>0</v>
      </c>
      <c r="AK18" s="9">
        <f t="shared" si="25"/>
        <v>0</v>
      </c>
      <c r="AL18" s="9">
        <f t="shared" si="25"/>
        <v>0</v>
      </c>
      <c r="AM18" s="9">
        <f t="shared" si="25"/>
        <v>0</v>
      </c>
      <c r="AN18" s="9">
        <f t="shared" si="25"/>
        <v>0</v>
      </c>
      <c r="AO18" s="9">
        <f t="shared" si="25"/>
        <v>0</v>
      </c>
      <c r="AP18" s="9">
        <f t="shared" si="25"/>
        <v>0</v>
      </c>
      <c r="AQ18" s="9">
        <f t="shared" si="25"/>
        <v>0</v>
      </c>
      <c r="AR18" s="9">
        <f t="shared" si="25"/>
        <v>0</v>
      </c>
      <c r="AS18" s="9">
        <f t="shared" si="25"/>
        <v>0</v>
      </c>
      <c r="AT18" s="9">
        <f t="shared" si="25"/>
        <v>0</v>
      </c>
      <c r="AU18" s="9">
        <f t="shared" si="25"/>
        <v>0</v>
      </c>
      <c r="AV18" s="9">
        <f t="shared" si="25"/>
        <v>0</v>
      </c>
      <c r="AW18" s="9">
        <f t="shared" si="25"/>
        <v>0</v>
      </c>
      <c r="AX18" s="9">
        <f t="shared" si="25"/>
        <v>0</v>
      </c>
      <c r="AY18" s="9">
        <f t="shared" si="25"/>
        <v>0</v>
      </c>
      <c r="AZ18" s="9">
        <f t="shared" si="25"/>
        <v>0</v>
      </c>
      <c r="BA18" s="9">
        <f t="shared" si="25"/>
        <v>0</v>
      </c>
      <c r="BB18" s="9">
        <f t="shared" si="25"/>
        <v>0</v>
      </c>
      <c r="BC18" s="9">
        <f t="shared" si="25"/>
        <v>0</v>
      </c>
      <c r="BD18" s="9">
        <f t="shared" si="25"/>
        <v>0</v>
      </c>
      <c r="BE18" s="9">
        <f t="shared" si="25"/>
        <v>0</v>
      </c>
      <c r="BF18" s="9">
        <f t="shared" si="25"/>
        <v>0</v>
      </c>
      <c r="BG18" s="9">
        <f t="shared" si="25"/>
        <v>0</v>
      </c>
      <c r="BH18" s="9">
        <f t="shared" si="25"/>
        <v>0</v>
      </c>
      <c r="BI18" s="9">
        <f t="shared" si="25"/>
        <v>0</v>
      </c>
      <c r="BJ18" s="9">
        <f t="shared" si="25"/>
        <v>1896785.4902792422</v>
      </c>
    </row>
    <row r="19" spans="2:62" x14ac:dyDescent="0.25">
      <c r="B19" s="15" t="s">
        <v>251</v>
      </c>
      <c r="C19" s="16">
        <f t="shared" ref="C19:AH19" si="26">C14-C16-C18</f>
        <v>0</v>
      </c>
      <c r="D19" s="16">
        <f t="shared" si="26"/>
        <v>0</v>
      </c>
      <c r="E19" s="16">
        <f t="shared" si="26"/>
        <v>0</v>
      </c>
      <c r="F19" s="16">
        <f t="shared" si="26"/>
        <v>0</v>
      </c>
      <c r="G19" s="16">
        <f t="shared" si="26"/>
        <v>0</v>
      </c>
      <c r="H19" s="16">
        <f t="shared" si="26"/>
        <v>0</v>
      </c>
      <c r="I19" s="16">
        <f t="shared" si="26"/>
        <v>0</v>
      </c>
      <c r="J19" s="16">
        <f t="shared" si="26"/>
        <v>0</v>
      </c>
      <c r="K19" s="16">
        <f t="shared" si="26"/>
        <v>0</v>
      </c>
      <c r="L19" s="16">
        <f t="shared" si="26"/>
        <v>0</v>
      </c>
      <c r="M19" s="16">
        <f t="shared" si="26"/>
        <v>0</v>
      </c>
      <c r="N19" s="16">
        <f t="shared" si="26"/>
        <v>2031497.7766964894</v>
      </c>
      <c r="O19" s="16">
        <f t="shared" si="26"/>
        <v>2029070.1621349996</v>
      </c>
      <c r="P19" s="16">
        <f t="shared" si="26"/>
        <v>2026627.8807355342</v>
      </c>
      <c r="Q19" s="16">
        <f t="shared" si="26"/>
        <v>2024170.843885947</v>
      </c>
      <c r="R19" s="16">
        <f t="shared" si="26"/>
        <v>2021698.9624387268</v>
      </c>
      <c r="S19" s="16">
        <f t="shared" si="26"/>
        <v>2019212.146707763</v>
      </c>
      <c r="T19" s="16">
        <f t="shared" si="26"/>
        <v>2016710.3064650912</v>
      </c>
      <c r="U19" s="16">
        <f t="shared" si="26"/>
        <v>2014193.35093762</v>
      </c>
      <c r="V19" s="16">
        <f t="shared" si="26"/>
        <v>2011661.1888038372</v>
      </c>
      <c r="W19" s="16">
        <f t="shared" si="26"/>
        <v>2009113.7281904959</v>
      </c>
      <c r="X19" s="16">
        <f t="shared" si="26"/>
        <v>2006550.8766692823</v>
      </c>
      <c r="Y19" s="16">
        <f t="shared" si="26"/>
        <v>2003972.5412534615</v>
      </c>
      <c r="Z19" s="16">
        <f t="shared" si="26"/>
        <v>2001378.6283945034</v>
      </c>
      <c r="AA19" s="16">
        <f t="shared" si="26"/>
        <v>1998769.043978689</v>
      </c>
      <c r="AB19" s="16">
        <f t="shared" si="26"/>
        <v>1996143.6933236958</v>
      </c>
      <c r="AC19" s="16">
        <f t="shared" si="26"/>
        <v>1993502.4811751621</v>
      </c>
      <c r="AD19" s="16">
        <f t="shared" si="26"/>
        <v>1990845.311703231</v>
      </c>
      <c r="AE19" s="16">
        <f t="shared" si="26"/>
        <v>1988172.0884990736</v>
      </c>
      <c r="AF19" s="16">
        <f t="shared" si="26"/>
        <v>1985482.714571391</v>
      </c>
      <c r="AG19" s="16">
        <f t="shared" si="26"/>
        <v>1982777.0923428955</v>
      </c>
      <c r="AH19" s="16">
        <f t="shared" si="26"/>
        <v>1980055.1236467694</v>
      </c>
      <c r="AI19" s="16">
        <f t="shared" ref="AI19:BJ19" si="27">AI14-AI16-AI18</f>
        <v>1977316.7097231043</v>
      </c>
      <c r="AJ19" s="16">
        <f t="shared" si="27"/>
        <v>1974561.7512153168</v>
      </c>
      <c r="AK19" s="16">
        <f t="shared" si="27"/>
        <v>1971790.148166545</v>
      </c>
      <c r="AL19" s="16">
        <f t="shared" si="27"/>
        <v>1969001.8000160202</v>
      </c>
      <c r="AM19" s="16">
        <f t="shared" si="27"/>
        <v>1966196.6055954192</v>
      </c>
      <c r="AN19" s="16">
        <f t="shared" si="27"/>
        <v>1963374.4631251937</v>
      </c>
      <c r="AO19" s="16">
        <f t="shared" si="27"/>
        <v>1960535.2702108773</v>
      </c>
      <c r="AP19" s="16">
        <f t="shared" si="27"/>
        <v>1957678.9238393703</v>
      </c>
      <c r="AQ19" s="16">
        <f t="shared" si="27"/>
        <v>1954805.320375202</v>
      </c>
      <c r="AR19" s="16">
        <f t="shared" si="27"/>
        <v>1951914.3555567712</v>
      </c>
      <c r="AS19" s="16">
        <f t="shared" si="27"/>
        <v>1949005.9244925622</v>
      </c>
      <c r="AT19" s="16">
        <f t="shared" si="27"/>
        <v>1946079.9216573404</v>
      </c>
      <c r="AU19" s="16">
        <f t="shared" si="27"/>
        <v>1943136.2408883225</v>
      </c>
      <c r="AV19" s="16">
        <f t="shared" si="27"/>
        <v>1940174.775381325</v>
      </c>
      <c r="AW19" s="16">
        <f t="shared" si="27"/>
        <v>1937195.4176868894</v>
      </c>
      <c r="AX19" s="16">
        <f t="shared" si="27"/>
        <v>1934198.0597063834</v>
      </c>
      <c r="AY19" s="16">
        <f t="shared" si="27"/>
        <v>1931182.5926880783</v>
      </c>
      <c r="AZ19" s="16">
        <f t="shared" si="27"/>
        <v>1928148.9072232044</v>
      </c>
      <c r="BA19" s="16">
        <f t="shared" si="27"/>
        <v>1925096.8932419801</v>
      </c>
      <c r="BB19" s="16">
        <f t="shared" si="27"/>
        <v>1922026.4400096193</v>
      </c>
      <c r="BC19" s="16">
        <f t="shared" si="27"/>
        <v>1918937.4361223131</v>
      </c>
      <c r="BD19" s="16">
        <f t="shared" si="27"/>
        <v>1915829.7695031876</v>
      </c>
      <c r="BE19" s="16">
        <f t="shared" si="27"/>
        <v>1912703.3273982382</v>
      </c>
      <c r="BF19" s="16">
        <f t="shared" si="27"/>
        <v>1909557.9963722383</v>
      </c>
      <c r="BG19" s="16">
        <f t="shared" si="27"/>
        <v>1906393.6623046228</v>
      </c>
      <c r="BH19" s="16">
        <f t="shared" si="27"/>
        <v>1903210.2103853489</v>
      </c>
      <c r="BI19" s="16">
        <f t="shared" si="27"/>
        <v>1900007.5251107293</v>
      </c>
      <c r="BJ19" s="16">
        <f t="shared" si="27"/>
        <v>0</v>
      </c>
    </row>
    <row r="20" spans="2:62" x14ac:dyDescent="0.25">
      <c r="B20" s="7" t="s">
        <v>252</v>
      </c>
      <c r="C20" s="9">
        <f t="shared" ref="C20:AH20" si="28">IF(AND(Refi_Toggle="ON",C2=Refi_Month),Refi_Loan_Amt*Refi_Orig_Fee,0)</f>
        <v>0</v>
      </c>
      <c r="D20" s="9">
        <f t="shared" si="28"/>
        <v>0</v>
      </c>
      <c r="E20" s="9">
        <f t="shared" si="28"/>
        <v>0</v>
      </c>
      <c r="F20" s="9">
        <f t="shared" si="28"/>
        <v>0</v>
      </c>
      <c r="G20" s="9">
        <f t="shared" si="28"/>
        <v>0</v>
      </c>
      <c r="H20" s="9">
        <f t="shared" si="28"/>
        <v>0</v>
      </c>
      <c r="I20" s="9">
        <f t="shared" si="28"/>
        <v>0</v>
      </c>
      <c r="J20" s="9">
        <f t="shared" si="28"/>
        <v>0</v>
      </c>
      <c r="K20" s="9">
        <f t="shared" si="28"/>
        <v>0</v>
      </c>
      <c r="L20" s="9">
        <f t="shared" si="28"/>
        <v>0</v>
      </c>
      <c r="M20" s="9">
        <f t="shared" si="28"/>
        <v>0</v>
      </c>
      <c r="N20" s="9">
        <f t="shared" si="28"/>
        <v>40678.216249999998</v>
      </c>
      <c r="O20" s="9">
        <f t="shared" si="28"/>
        <v>0</v>
      </c>
      <c r="P20" s="9">
        <f t="shared" si="28"/>
        <v>0</v>
      </c>
      <c r="Q20" s="9">
        <f t="shared" si="28"/>
        <v>0</v>
      </c>
      <c r="R20" s="9">
        <f t="shared" si="28"/>
        <v>0</v>
      </c>
      <c r="S20" s="9">
        <f t="shared" si="28"/>
        <v>0</v>
      </c>
      <c r="T20" s="9">
        <f t="shared" si="28"/>
        <v>0</v>
      </c>
      <c r="U20" s="9">
        <f t="shared" si="28"/>
        <v>0</v>
      </c>
      <c r="V20" s="9">
        <f t="shared" si="28"/>
        <v>0</v>
      </c>
      <c r="W20" s="9">
        <f t="shared" si="28"/>
        <v>0</v>
      </c>
      <c r="X20" s="9">
        <f t="shared" si="28"/>
        <v>0</v>
      </c>
      <c r="Y20" s="9">
        <f t="shared" si="28"/>
        <v>0</v>
      </c>
      <c r="Z20" s="9">
        <f t="shared" si="28"/>
        <v>0</v>
      </c>
      <c r="AA20" s="9">
        <f t="shared" si="28"/>
        <v>0</v>
      </c>
      <c r="AB20" s="9">
        <f t="shared" si="28"/>
        <v>0</v>
      </c>
      <c r="AC20" s="9">
        <f t="shared" si="28"/>
        <v>0</v>
      </c>
      <c r="AD20" s="9">
        <f t="shared" si="28"/>
        <v>0</v>
      </c>
      <c r="AE20" s="9">
        <f t="shared" si="28"/>
        <v>0</v>
      </c>
      <c r="AF20" s="9">
        <f t="shared" si="28"/>
        <v>0</v>
      </c>
      <c r="AG20" s="9">
        <f t="shared" si="28"/>
        <v>0</v>
      </c>
      <c r="AH20" s="9">
        <f t="shared" si="28"/>
        <v>0</v>
      </c>
      <c r="AI20" s="9">
        <f t="shared" ref="AI20:BJ20" si="29">IF(AND(Refi_Toggle="ON",AI2=Refi_Month),Refi_Loan_Amt*Refi_Orig_Fee,0)</f>
        <v>0</v>
      </c>
      <c r="AJ20" s="9">
        <f t="shared" si="29"/>
        <v>0</v>
      </c>
      <c r="AK20" s="9">
        <f t="shared" si="29"/>
        <v>0</v>
      </c>
      <c r="AL20" s="9">
        <f t="shared" si="29"/>
        <v>0</v>
      </c>
      <c r="AM20" s="9">
        <f t="shared" si="29"/>
        <v>0</v>
      </c>
      <c r="AN20" s="9">
        <f t="shared" si="29"/>
        <v>0</v>
      </c>
      <c r="AO20" s="9">
        <f t="shared" si="29"/>
        <v>0</v>
      </c>
      <c r="AP20" s="9">
        <f t="shared" si="29"/>
        <v>0</v>
      </c>
      <c r="AQ20" s="9">
        <f t="shared" si="29"/>
        <v>0</v>
      </c>
      <c r="AR20" s="9">
        <f t="shared" si="29"/>
        <v>0</v>
      </c>
      <c r="AS20" s="9">
        <f t="shared" si="29"/>
        <v>0</v>
      </c>
      <c r="AT20" s="9">
        <f t="shared" si="29"/>
        <v>0</v>
      </c>
      <c r="AU20" s="9">
        <f t="shared" si="29"/>
        <v>0</v>
      </c>
      <c r="AV20" s="9">
        <f t="shared" si="29"/>
        <v>0</v>
      </c>
      <c r="AW20" s="9">
        <f t="shared" si="29"/>
        <v>0</v>
      </c>
      <c r="AX20" s="9">
        <f t="shared" si="29"/>
        <v>0</v>
      </c>
      <c r="AY20" s="9">
        <f t="shared" si="29"/>
        <v>0</v>
      </c>
      <c r="AZ20" s="9">
        <f t="shared" si="29"/>
        <v>0</v>
      </c>
      <c r="BA20" s="9">
        <f t="shared" si="29"/>
        <v>0</v>
      </c>
      <c r="BB20" s="9">
        <f t="shared" si="29"/>
        <v>0</v>
      </c>
      <c r="BC20" s="9">
        <f t="shared" si="29"/>
        <v>0</v>
      </c>
      <c r="BD20" s="9">
        <f t="shared" si="29"/>
        <v>0</v>
      </c>
      <c r="BE20" s="9">
        <f t="shared" si="29"/>
        <v>0</v>
      </c>
      <c r="BF20" s="9">
        <f t="shared" si="29"/>
        <v>0</v>
      </c>
      <c r="BG20" s="9">
        <f t="shared" si="29"/>
        <v>0</v>
      </c>
      <c r="BH20" s="9">
        <f t="shared" si="29"/>
        <v>0</v>
      </c>
      <c r="BI20" s="9">
        <f t="shared" si="29"/>
        <v>0</v>
      </c>
      <c r="BJ20" s="9">
        <f t="shared" si="29"/>
        <v>0</v>
      </c>
    </row>
    <row r="22" spans="2:62" x14ac:dyDescent="0.25">
      <c r="B22" s="6" t="s">
        <v>255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</row>
    <row r="23" spans="2:62" x14ac:dyDescent="0.25">
      <c r="B23" s="15" t="s">
        <v>22</v>
      </c>
      <c r="C23" s="16">
        <f t="shared" ref="C23:AH23" si="30">C7+C17</f>
        <v>11666.666666666666</v>
      </c>
      <c r="D23" s="16">
        <f t="shared" si="30"/>
        <v>11666.666666666666</v>
      </c>
      <c r="E23" s="16">
        <f t="shared" si="30"/>
        <v>11666.666666666666</v>
      </c>
      <c r="F23" s="16">
        <f t="shared" si="30"/>
        <v>11666.666666666666</v>
      </c>
      <c r="G23" s="16">
        <f t="shared" si="30"/>
        <v>11666.666666666666</v>
      </c>
      <c r="H23" s="16">
        <f t="shared" si="30"/>
        <v>11666.666666666666</v>
      </c>
      <c r="I23" s="16">
        <f t="shared" si="30"/>
        <v>11666.666666666666</v>
      </c>
      <c r="J23" s="16">
        <f t="shared" si="30"/>
        <v>11666.666666666666</v>
      </c>
      <c r="K23" s="16">
        <f t="shared" si="30"/>
        <v>11666.666666666666</v>
      </c>
      <c r="L23" s="16">
        <f t="shared" si="30"/>
        <v>11666.666666666666</v>
      </c>
      <c r="M23" s="16">
        <f t="shared" si="30"/>
        <v>11666.666666666666</v>
      </c>
      <c r="N23" s="16">
        <f t="shared" si="30"/>
        <v>26367.913629031093</v>
      </c>
      <c r="O23" s="16">
        <f t="shared" si="30"/>
        <v>14701.246962364428</v>
      </c>
      <c r="P23" s="16">
        <f t="shared" si="30"/>
        <v>14701.246962364428</v>
      </c>
      <c r="Q23" s="16">
        <f t="shared" si="30"/>
        <v>14701.246962364428</v>
      </c>
      <c r="R23" s="16">
        <f t="shared" si="30"/>
        <v>14701.24696236443</v>
      </c>
      <c r="S23" s="16">
        <f t="shared" si="30"/>
        <v>14701.246962364428</v>
      </c>
      <c r="T23" s="16">
        <f t="shared" si="30"/>
        <v>14701.246962364428</v>
      </c>
      <c r="U23" s="16">
        <f t="shared" si="30"/>
        <v>14701.246962364428</v>
      </c>
      <c r="V23" s="16">
        <f t="shared" si="30"/>
        <v>14701.246962364427</v>
      </c>
      <c r="W23" s="16">
        <f t="shared" si="30"/>
        <v>14701.24696236443</v>
      </c>
      <c r="X23" s="16">
        <f t="shared" si="30"/>
        <v>14701.246962364427</v>
      </c>
      <c r="Y23" s="16">
        <f t="shared" si="30"/>
        <v>14701.246962364428</v>
      </c>
      <c r="Z23" s="16">
        <f t="shared" si="30"/>
        <v>14701.246962364428</v>
      </c>
      <c r="AA23" s="16">
        <f t="shared" si="30"/>
        <v>14701.246962364427</v>
      </c>
      <c r="AB23" s="16">
        <f t="shared" si="30"/>
        <v>14701.246962364428</v>
      </c>
      <c r="AC23" s="16">
        <f t="shared" si="30"/>
        <v>14701.246962364427</v>
      </c>
      <c r="AD23" s="16">
        <f t="shared" si="30"/>
        <v>14701.246962364428</v>
      </c>
      <c r="AE23" s="16">
        <f t="shared" si="30"/>
        <v>14701.246962364427</v>
      </c>
      <c r="AF23" s="16">
        <f t="shared" si="30"/>
        <v>14701.246962364427</v>
      </c>
      <c r="AG23" s="16">
        <f t="shared" si="30"/>
        <v>14701.246962364427</v>
      </c>
      <c r="AH23" s="16">
        <f t="shared" si="30"/>
        <v>14701.246962364427</v>
      </c>
      <c r="AI23" s="16">
        <f t="shared" ref="AI23:BJ23" si="31">AI7+AI17</f>
        <v>14701.246962364428</v>
      </c>
      <c r="AJ23" s="16">
        <f t="shared" si="31"/>
        <v>14701.246962364428</v>
      </c>
      <c r="AK23" s="16">
        <f t="shared" si="31"/>
        <v>14701.246962364428</v>
      </c>
      <c r="AL23" s="16">
        <f t="shared" si="31"/>
        <v>14701.24696236443</v>
      </c>
      <c r="AM23" s="16">
        <f t="shared" si="31"/>
        <v>14701.246962364428</v>
      </c>
      <c r="AN23" s="16">
        <f t="shared" si="31"/>
        <v>14701.24696236443</v>
      </c>
      <c r="AO23" s="16">
        <f t="shared" si="31"/>
        <v>14701.246962364427</v>
      </c>
      <c r="AP23" s="16">
        <f t="shared" si="31"/>
        <v>14701.246962364428</v>
      </c>
      <c r="AQ23" s="16">
        <f t="shared" si="31"/>
        <v>14701.246962364428</v>
      </c>
      <c r="AR23" s="16">
        <f t="shared" si="31"/>
        <v>14701.246962364428</v>
      </c>
      <c r="AS23" s="16">
        <f t="shared" si="31"/>
        <v>14701.24696236443</v>
      </c>
      <c r="AT23" s="16">
        <f t="shared" si="31"/>
        <v>14701.24696236443</v>
      </c>
      <c r="AU23" s="16">
        <f t="shared" si="31"/>
        <v>14701.246962364428</v>
      </c>
      <c r="AV23" s="16">
        <f t="shared" si="31"/>
        <v>14701.246962364428</v>
      </c>
      <c r="AW23" s="16">
        <f t="shared" si="31"/>
        <v>14701.24696236443</v>
      </c>
      <c r="AX23" s="16">
        <f t="shared" si="31"/>
        <v>14701.24696236443</v>
      </c>
      <c r="AY23" s="16">
        <f t="shared" si="31"/>
        <v>14701.246962364428</v>
      </c>
      <c r="AZ23" s="16">
        <f t="shared" si="31"/>
        <v>14701.24696236443</v>
      </c>
      <c r="BA23" s="16">
        <f t="shared" si="31"/>
        <v>14701.24696236443</v>
      </c>
      <c r="BB23" s="16">
        <f t="shared" si="31"/>
        <v>14701.246962364428</v>
      </c>
      <c r="BC23" s="16">
        <f t="shared" si="31"/>
        <v>14701.246962364432</v>
      </c>
      <c r="BD23" s="16">
        <f t="shared" si="31"/>
        <v>14701.246962364432</v>
      </c>
      <c r="BE23" s="16">
        <f t="shared" si="31"/>
        <v>14701.24696236443</v>
      </c>
      <c r="BF23" s="16">
        <f t="shared" si="31"/>
        <v>14701.24696236443</v>
      </c>
      <c r="BG23" s="16">
        <f t="shared" si="31"/>
        <v>14701.246962364432</v>
      </c>
      <c r="BH23" s="16">
        <f t="shared" si="31"/>
        <v>14701.246962364432</v>
      </c>
      <c r="BI23" s="16">
        <f t="shared" si="31"/>
        <v>14701.24696236443</v>
      </c>
      <c r="BJ23" s="16">
        <f t="shared" si="31"/>
        <v>14701.246962364432</v>
      </c>
    </row>
    <row r="24" spans="2:62" x14ac:dyDescent="0.25">
      <c r="B24" s="7" t="s">
        <v>256</v>
      </c>
      <c r="C24" s="9">
        <f t="shared" ref="C24:AH24" si="32">C13-C8-C20</f>
        <v>0</v>
      </c>
      <c r="D24" s="9">
        <f t="shared" si="32"/>
        <v>0</v>
      </c>
      <c r="E24" s="9">
        <f t="shared" si="32"/>
        <v>0</v>
      </c>
      <c r="F24" s="9">
        <f t="shared" si="32"/>
        <v>0</v>
      </c>
      <c r="G24" s="9">
        <f t="shared" si="32"/>
        <v>0</v>
      </c>
      <c r="H24" s="9">
        <f t="shared" si="32"/>
        <v>0</v>
      </c>
      <c r="I24" s="9">
        <f t="shared" si="32"/>
        <v>0</v>
      </c>
      <c r="J24" s="9">
        <f t="shared" si="32"/>
        <v>0</v>
      </c>
      <c r="K24" s="9">
        <f t="shared" si="32"/>
        <v>0</v>
      </c>
      <c r="L24" s="9">
        <f t="shared" si="32"/>
        <v>0</v>
      </c>
      <c r="M24" s="9">
        <f t="shared" si="32"/>
        <v>0</v>
      </c>
      <c r="N24" s="9">
        <f t="shared" si="32"/>
        <v>593232.59624999971</v>
      </c>
      <c r="O24" s="9">
        <f t="shared" si="32"/>
        <v>0</v>
      </c>
      <c r="P24" s="9">
        <f t="shared" si="32"/>
        <v>0</v>
      </c>
      <c r="Q24" s="9">
        <f t="shared" si="32"/>
        <v>0</v>
      </c>
      <c r="R24" s="9">
        <f t="shared" si="32"/>
        <v>0</v>
      </c>
      <c r="S24" s="9">
        <f t="shared" si="32"/>
        <v>0</v>
      </c>
      <c r="T24" s="9">
        <f t="shared" si="32"/>
        <v>0</v>
      </c>
      <c r="U24" s="9">
        <f t="shared" si="32"/>
        <v>0</v>
      </c>
      <c r="V24" s="9">
        <f t="shared" si="32"/>
        <v>0</v>
      </c>
      <c r="W24" s="9">
        <f t="shared" si="32"/>
        <v>0</v>
      </c>
      <c r="X24" s="9">
        <f t="shared" si="32"/>
        <v>0</v>
      </c>
      <c r="Y24" s="9">
        <f t="shared" si="32"/>
        <v>0</v>
      </c>
      <c r="Z24" s="9">
        <f t="shared" si="32"/>
        <v>0</v>
      </c>
      <c r="AA24" s="9">
        <f t="shared" si="32"/>
        <v>0</v>
      </c>
      <c r="AB24" s="9">
        <f t="shared" si="32"/>
        <v>0</v>
      </c>
      <c r="AC24" s="9">
        <f t="shared" si="32"/>
        <v>0</v>
      </c>
      <c r="AD24" s="9">
        <f t="shared" si="32"/>
        <v>0</v>
      </c>
      <c r="AE24" s="9">
        <f t="shared" si="32"/>
        <v>0</v>
      </c>
      <c r="AF24" s="9">
        <f t="shared" si="32"/>
        <v>0</v>
      </c>
      <c r="AG24" s="9">
        <f t="shared" si="32"/>
        <v>0</v>
      </c>
      <c r="AH24" s="9">
        <f t="shared" si="32"/>
        <v>0</v>
      </c>
      <c r="AI24" s="9">
        <f t="shared" ref="AI24:BJ24" si="33">AI13-AI8-AI20</f>
        <v>0</v>
      </c>
      <c r="AJ24" s="9">
        <f t="shared" si="33"/>
        <v>0</v>
      </c>
      <c r="AK24" s="9">
        <f t="shared" si="33"/>
        <v>0</v>
      </c>
      <c r="AL24" s="9">
        <f t="shared" si="33"/>
        <v>0</v>
      </c>
      <c r="AM24" s="9">
        <f t="shared" si="33"/>
        <v>0</v>
      </c>
      <c r="AN24" s="9">
        <f t="shared" si="33"/>
        <v>0</v>
      </c>
      <c r="AO24" s="9">
        <f t="shared" si="33"/>
        <v>0</v>
      </c>
      <c r="AP24" s="9">
        <f t="shared" si="33"/>
        <v>0</v>
      </c>
      <c r="AQ24" s="9">
        <f t="shared" si="33"/>
        <v>0</v>
      </c>
      <c r="AR24" s="9">
        <f t="shared" si="33"/>
        <v>0</v>
      </c>
      <c r="AS24" s="9">
        <f t="shared" si="33"/>
        <v>0</v>
      </c>
      <c r="AT24" s="9">
        <f t="shared" si="33"/>
        <v>0</v>
      </c>
      <c r="AU24" s="9">
        <f t="shared" si="33"/>
        <v>0</v>
      </c>
      <c r="AV24" s="9">
        <f t="shared" si="33"/>
        <v>0</v>
      </c>
      <c r="AW24" s="9">
        <f t="shared" si="33"/>
        <v>0</v>
      </c>
      <c r="AX24" s="9">
        <f t="shared" si="33"/>
        <v>0</v>
      </c>
      <c r="AY24" s="9">
        <f t="shared" si="33"/>
        <v>0</v>
      </c>
      <c r="AZ24" s="9">
        <f t="shared" si="33"/>
        <v>0</v>
      </c>
      <c r="BA24" s="9">
        <f t="shared" si="33"/>
        <v>0</v>
      </c>
      <c r="BB24" s="9">
        <f t="shared" si="33"/>
        <v>0</v>
      </c>
      <c r="BC24" s="9">
        <f t="shared" si="33"/>
        <v>0</v>
      </c>
      <c r="BD24" s="9">
        <f t="shared" si="33"/>
        <v>0</v>
      </c>
      <c r="BE24" s="9">
        <f t="shared" si="33"/>
        <v>0</v>
      </c>
      <c r="BF24" s="9">
        <f t="shared" si="33"/>
        <v>0</v>
      </c>
      <c r="BG24" s="9">
        <f t="shared" si="33"/>
        <v>0</v>
      </c>
      <c r="BH24" s="9">
        <f t="shared" si="33"/>
        <v>0</v>
      </c>
      <c r="BI24" s="9">
        <f t="shared" si="33"/>
        <v>0</v>
      </c>
      <c r="BJ24" s="9">
        <f t="shared" si="33"/>
        <v>0</v>
      </c>
    </row>
    <row r="25" spans="2:62" x14ac:dyDescent="0.25">
      <c r="B25" s="15" t="s">
        <v>257</v>
      </c>
      <c r="C25" s="16">
        <f t="shared" ref="C25:AH25" si="34">IF(C2 = Exit_Month, C18 + C8, 0)</f>
        <v>0</v>
      </c>
      <c r="D25" s="16">
        <f t="shared" si="34"/>
        <v>0</v>
      </c>
      <c r="E25" s="16">
        <f t="shared" si="34"/>
        <v>0</v>
      </c>
      <c r="F25" s="16">
        <f t="shared" si="34"/>
        <v>0</v>
      </c>
      <c r="G25" s="16">
        <f t="shared" si="34"/>
        <v>0</v>
      </c>
      <c r="H25" s="16">
        <f t="shared" si="34"/>
        <v>0</v>
      </c>
      <c r="I25" s="16">
        <f t="shared" si="34"/>
        <v>0</v>
      </c>
      <c r="J25" s="16">
        <f t="shared" si="34"/>
        <v>0</v>
      </c>
      <c r="K25" s="16">
        <f t="shared" si="34"/>
        <v>0</v>
      </c>
      <c r="L25" s="16">
        <f t="shared" si="34"/>
        <v>0</v>
      </c>
      <c r="M25" s="16">
        <f t="shared" si="34"/>
        <v>0</v>
      </c>
      <c r="N25" s="16">
        <f t="shared" si="34"/>
        <v>0</v>
      </c>
      <c r="O25" s="16">
        <f t="shared" si="34"/>
        <v>0</v>
      </c>
      <c r="P25" s="16">
        <f t="shared" si="34"/>
        <v>0</v>
      </c>
      <c r="Q25" s="16">
        <f t="shared" si="34"/>
        <v>0</v>
      </c>
      <c r="R25" s="16">
        <f t="shared" si="34"/>
        <v>0</v>
      </c>
      <c r="S25" s="16">
        <f t="shared" si="34"/>
        <v>0</v>
      </c>
      <c r="T25" s="16">
        <f t="shared" si="34"/>
        <v>0</v>
      </c>
      <c r="U25" s="16">
        <f t="shared" si="34"/>
        <v>0</v>
      </c>
      <c r="V25" s="16">
        <f t="shared" si="34"/>
        <v>0</v>
      </c>
      <c r="W25" s="16">
        <f t="shared" si="34"/>
        <v>0</v>
      </c>
      <c r="X25" s="16">
        <f t="shared" si="34"/>
        <v>0</v>
      </c>
      <c r="Y25" s="16">
        <f t="shared" si="34"/>
        <v>0</v>
      </c>
      <c r="Z25" s="16">
        <f t="shared" si="34"/>
        <v>0</v>
      </c>
      <c r="AA25" s="16">
        <f t="shared" si="34"/>
        <v>0</v>
      </c>
      <c r="AB25" s="16">
        <f t="shared" si="34"/>
        <v>0</v>
      </c>
      <c r="AC25" s="16">
        <f t="shared" si="34"/>
        <v>0</v>
      </c>
      <c r="AD25" s="16">
        <f t="shared" si="34"/>
        <v>0</v>
      </c>
      <c r="AE25" s="16">
        <f t="shared" si="34"/>
        <v>0</v>
      </c>
      <c r="AF25" s="16">
        <f t="shared" si="34"/>
        <v>0</v>
      </c>
      <c r="AG25" s="16">
        <f t="shared" si="34"/>
        <v>0</v>
      </c>
      <c r="AH25" s="16">
        <f t="shared" si="34"/>
        <v>0</v>
      </c>
      <c r="AI25" s="16">
        <f t="shared" ref="AI25:BJ25" si="35">IF(AI2 = Exit_Month, AI18 + AI8, 0)</f>
        <v>0</v>
      </c>
      <c r="AJ25" s="16">
        <f t="shared" si="35"/>
        <v>0</v>
      </c>
      <c r="AK25" s="16">
        <f t="shared" si="35"/>
        <v>0</v>
      </c>
      <c r="AL25" s="16">
        <f t="shared" si="35"/>
        <v>0</v>
      </c>
      <c r="AM25" s="16">
        <f t="shared" si="35"/>
        <v>0</v>
      </c>
      <c r="AN25" s="16">
        <f t="shared" si="35"/>
        <v>0</v>
      </c>
      <c r="AO25" s="16">
        <f t="shared" si="35"/>
        <v>0</v>
      </c>
      <c r="AP25" s="16">
        <f t="shared" si="35"/>
        <v>0</v>
      </c>
      <c r="AQ25" s="16">
        <f t="shared" si="35"/>
        <v>0</v>
      </c>
      <c r="AR25" s="16">
        <f t="shared" si="35"/>
        <v>0</v>
      </c>
      <c r="AS25" s="16">
        <f t="shared" si="35"/>
        <v>0</v>
      </c>
      <c r="AT25" s="16">
        <f t="shared" si="35"/>
        <v>0</v>
      </c>
      <c r="AU25" s="16">
        <f t="shared" si="35"/>
        <v>0</v>
      </c>
      <c r="AV25" s="16">
        <f t="shared" si="35"/>
        <v>0</v>
      </c>
      <c r="AW25" s="16">
        <f t="shared" si="35"/>
        <v>0</v>
      </c>
      <c r="AX25" s="16">
        <f t="shared" si="35"/>
        <v>0</v>
      </c>
      <c r="AY25" s="16">
        <f t="shared" si="35"/>
        <v>0</v>
      </c>
      <c r="AZ25" s="16">
        <f t="shared" si="35"/>
        <v>0</v>
      </c>
      <c r="BA25" s="16">
        <f t="shared" si="35"/>
        <v>0</v>
      </c>
      <c r="BB25" s="16">
        <f t="shared" si="35"/>
        <v>0</v>
      </c>
      <c r="BC25" s="16">
        <f t="shared" si="35"/>
        <v>0</v>
      </c>
      <c r="BD25" s="16">
        <f t="shared" si="35"/>
        <v>0</v>
      </c>
      <c r="BE25" s="16">
        <f t="shared" si="35"/>
        <v>0</v>
      </c>
      <c r="BF25" s="16">
        <f t="shared" si="35"/>
        <v>0</v>
      </c>
      <c r="BG25" s="16">
        <f t="shared" si="35"/>
        <v>0</v>
      </c>
      <c r="BH25" s="16">
        <f t="shared" si="35"/>
        <v>0</v>
      </c>
      <c r="BI25" s="16">
        <f t="shared" si="35"/>
        <v>0</v>
      </c>
      <c r="BJ25" s="16">
        <f t="shared" si="35"/>
        <v>1896785.4902792422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03864"/>
  </sheetPr>
  <dimension ref="A1:G35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34" sqref="E34"/>
    </sheetView>
  </sheetViews>
  <sheetFormatPr defaultColWidth="8.7109375" defaultRowHeight="15" x14ac:dyDescent="0.25"/>
  <cols>
    <col min="1" max="1" width="2" customWidth="1"/>
    <col min="2" max="2" width="30" customWidth="1"/>
    <col min="3" max="7" width="16" customWidth="1"/>
  </cols>
  <sheetData>
    <row r="1" spans="1:7" ht="15.75" customHeight="1" x14ac:dyDescent="0.25">
      <c r="A1" s="234" t="s">
        <v>258</v>
      </c>
      <c r="B1" s="234"/>
    </row>
    <row r="2" spans="1:7" x14ac:dyDescent="0.25">
      <c r="B2" s="20"/>
      <c r="C2" s="135" t="s">
        <v>259</v>
      </c>
      <c r="D2" s="135" t="s">
        <v>260</v>
      </c>
      <c r="E2" s="135" t="s">
        <v>261</v>
      </c>
      <c r="F2" s="135" t="s">
        <v>262</v>
      </c>
      <c r="G2" s="135" t="s">
        <v>263</v>
      </c>
    </row>
    <row r="3" spans="1:7" x14ac:dyDescent="0.25">
      <c r="B3" s="14"/>
      <c r="C3" s="14"/>
      <c r="D3" s="14"/>
      <c r="E3" s="14"/>
      <c r="F3" s="14"/>
      <c r="G3" s="14"/>
    </row>
    <row r="4" spans="1:7" x14ac:dyDescent="0.25">
      <c r="B4" s="6" t="s">
        <v>4</v>
      </c>
      <c r="C4" s="144"/>
      <c r="D4" s="144"/>
      <c r="E4" s="144"/>
      <c r="F4" s="144"/>
      <c r="G4" s="144"/>
    </row>
    <row r="5" spans="1:7" x14ac:dyDescent="0.25">
      <c r="B5" s="7" t="s">
        <v>5</v>
      </c>
      <c r="C5" s="8">
        <f>SUM('Monthly CF'!C7:N7)</f>
        <v>201013</v>
      </c>
      <c r="D5" s="8">
        <f>SUM('Monthly CF'!O7:Z7)</f>
        <v>234054.35541905172</v>
      </c>
      <c r="E5" s="8">
        <f>SUM('Monthly CF'!AA7:AL7)</f>
        <v>239309.37545171083</v>
      </c>
      <c r="F5" s="8">
        <f>SUM('Monthly CF'!AM7:AX7)</f>
        <v>247089.77641863417</v>
      </c>
      <c r="G5" s="8">
        <f>SUM('Monthly CF'!AY7:BJ7)</f>
        <v>242565.544208026</v>
      </c>
    </row>
    <row r="6" spans="1:7" x14ac:dyDescent="0.25">
      <c r="B6" s="7" t="s">
        <v>6</v>
      </c>
      <c r="C6" s="9">
        <f>SUM('Monthly CF'!C13:N13)</f>
        <v>164518.2022121374</v>
      </c>
      <c r="D6" s="9">
        <f>SUM('Monthly CF'!O13:Z13)</f>
        <v>195949.63703503241</v>
      </c>
      <c r="E6" s="9">
        <f>SUM('Monthly CF'!AA13:AL13)</f>
        <v>197048.69081514602</v>
      </c>
      <c r="F6" s="9">
        <f>SUM('Monthly CF'!AM13:AX13)</f>
        <v>199830.56816452969</v>
      </c>
      <c r="G6" s="9">
        <f>SUM('Monthly CF'!AY13:BJ13)</f>
        <v>202424.26770650994</v>
      </c>
    </row>
    <row r="7" spans="1:7" x14ac:dyDescent="0.25">
      <c r="B7" s="7" t="s">
        <v>7</v>
      </c>
      <c r="C7" s="9">
        <f>SUM('Monthly CF'!C8:N8)</f>
        <v>16513.000000000004</v>
      </c>
      <c r="D7" s="9">
        <f>SUM('Monthly CF'!O8:Z8)</f>
        <v>16513.000000000004</v>
      </c>
      <c r="E7" s="9">
        <f>SUM('Monthly CF'!AA8:AL8)</f>
        <v>16513.000000000004</v>
      </c>
      <c r="F7" s="9">
        <f>SUM('Monthly CF'!AM8:AX8)</f>
        <v>16513.000000000004</v>
      </c>
      <c r="G7" s="9">
        <f>SUM('Monthly CF'!AY8:BJ8)</f>
        <v>16513.000000000004</v>
      </c>
    </row>
    <row r="8" spans="1:7" x14ac:dyDescent="0.25">
      <c r="B8" s="7" t="s">
        <v>264</v>
      </c>
      <c r="C8" s="9">
        <f>SUM('Monthly CF'!C10:N10)</f>
        <v>-10876.3</v>
      </c>
      <c r="D8" s="9">
        <f>SUM('Monthly CF'!O10:Z10)</f>
        <v>-12528.367770952585</v>
      </c>
      <c r="E8" s="9">
        <f>SUM('Monthly CF'!AA10:AL10)</f>
        <v>-12791.118772585538</v>
      </c>
      <c r="F8" s="9">
        <f>SUM('Monthly CF'!AM10:AX10)</f>
        <v>-13180.138820931707</v>
      </c>
      <c r="G8" s="9">
        <f>SUM('Monthly CF'!AY10:BJ10)</f>
        <v>-12953.927210401302</v>
      </c>
    </row>
    <row r="9" spans="1:7" x14ac:dyDescent="0.25">
      <c r="B9" s="10" t="s">
        <v>265</v>
      </c>
      <c r="C9" s="11">
        <f>SUM('Monthly CF'!C11:N11)</f>
        <v>206649.69999999998</v>
      </c>
      <c r="D9" s="11">
        <f>SUM('Monthly CF'!O11:Z11)</f>
        <v>238038.98764809908</v>
      </c>
      <c r="E9" s="11">
        <f>SUM('Monthly CF'!AA11:AL11)</f>
        <v>243031.25667912528</v>
      </c>
      <c r="F9" s="11">
        <f>SUM('Monthly CF'!AM11:AX11)</f>
        <v>250422.63759770241</v>
      </c>
      <c r="G9" s="11">
        <f>SUM('Monthly CF'!AY11:BJ11)</f>
        <v>246124.61699762475</v>
      </c>
    </row>
    <row r="10" spans="1:7" x14ac:dyDescent="0.25">
      <c r="B10" s="14"/>
      <c r="C10" s="14"/>
      <c r="D10" s="14"/>
      <c r="E10" s="14"/>
      <c r="F10" s="14"/>
      <c r="G10" s="14"/>
    </row>
    <row r="11" spans="1:7" x14ac:dyDescent="0.25">
      <c r="B11" s="6" t="s">
        <v>11</v>
      </c>
      <c r="C11" s="144"/>
      <c r="D11" s="144"/>
      <c r="E11" s="144"/>
      <c r="F11" s="144"/>
      <c r="G11" s="144"/>
    </row>
    <row r="12" spans="1:7" x14ac:dyDescent="0.25">
      <c r="B12" s="7" t="s">
        <v>12</v>
      </c>
      <c r="C12" s="8">
        <f>SUM('Monthly CF'!C18:N18)</f>
        <v>182772.62502853764</v>
      </c>
      <c r="D12" s="8">
        <f>SUM('Monthly CF'!O18:Z18)</f>
        <v>186428.07752910844</v>
      </c>
      <c r="E12" s="8">
        <f>SUM('Monthly CF'!AA18:AL18)</f>
        <v>190156.63907969074</v>
      </c>
      <c r="F12" s="8">
        <f>SUM('Monthly CF'!AM18:AX18)</f>
        <v>193959.77186128468</v>
      </c>
      <c r="G12" s="8">
        <f>SUM('Monthly CF'!AY18:BJ18)</f>
        <v>197838.96729851046</v>
      </c>
    </row>
    <row r="13" spans="1:7" x14ac:dyDescent="0.25">
      <c r="B13" s="7" t="s">
        <v>13</v>
      </c>
      <c r="C13" s="9">
        <f>SUM('Monthly CF'!C19:N19)</f>
        <v>8265.9880000000012</v>
      </c>
      <c r="D13" s="9">
        <f>SUM('Monthly CF'!O19:Z19)</f>
        <v>9521.5595059239658</v>
      </c>
      <c r="E13" s="9">
        <f>SUM('Monthly CF'!AA19:AL19)</f>
        <v>9721.2502671650072</v>
      </c>
      <c r="F13" s="9">
        <f>SUM('Monthly CF'!AM19:AX19)</f>
        <v>10016.905503908096</v>
      </c>
      <c r="G13" s="9">
        <f>SUM('Monthly CF'!AY19:BJ19)</f>
        <v>9844.9846799049901</v>
      </c>
    </row>
    <row r="14" spans="1:7" x14ac:dyDescent="0.25">
      <c r="B14" s="10" t="s">
        <v>14</v>
      </c>
      <c r="C14" s="11">
        <f>SUM('Monthly CF'!C20:N20)</f>
        <v>191038.61302853766</v>
      </c>
      <c r="D14" s="11">
        <f>SUM('Monthly CF'!O20:Z20)</f>
        <v>195949.63703503241</v>
      </c>
      <c r="E14" s="11">
        <f>SUM('Monthly CF'!AA20:AL20)</f>
        <v>199877.88934685575</v>
      </c>
      <c r="F14" s="11">
        <f>SUM('Monthly CF'!AM20:AX20)</f>
        <v>203976.67736519277</v>
      </c>
      <c r="G14" s="11">
        <f>SUM('Monthly CF'!AY20:BJ20)</f>
        <v>207683.95197841543</v>
      </c>
    </row>
    <row r="15" spans="1:7" x14ac:dyDescent="0.25">
      <c r="B15" s="14"/>
      <c r="C15" s="14"/>
      <c r="D15" s="14"/>
      <c r="E15" s="14"/>
      <c r="F15" s="14"/>
      <c r="G15" s="14"/>
    </row>
    <row r="16" spans="1:7" x14ac:dyDescent="0.25">
      <c r="B16" s="12" t="s">
        <v>266</v>
      </c>
      <c r="C16" s="13">
        <f>SUM('Monthly CF'!C22:N22)</f>
        <v>180129.28918359976</v>
      </c>
      <c r="D16" s="13">
        <f>SUM('Monthly CF'!O22:Z22)</f>
        <v>238038.98764809908</v>
      </c>
      <c r="E16" s="13">
        <f>SUM('Monthly CF'!AA22:AL22)</f>
        <v>240202.05814741549</v>
      </c>
      <c r="F16" s="13">
        <f>SUM('Monthly CF'!AM22:AX22)</f>
        <v>246276.52839703931</v>
      </c>
      <c r="G16" s="13">
        <f>SUM('Monthly CF'!AY22:BJ22)</f>
        <v>240864.93272571921</v>
      </c>
    </row>
    <row r="17" spans="2:7" x14ac:dyDescent="0.25">
      <c r="B17" s="14"/>
      <c r="C17" s="14"/>
      <c r="D17" s="14"/>
      <c r="E17" s="14"/>
      <c r="F17" s="14"/>
      <c r="G17" s="14"/>
    </row>
    <row r="18" spans="2:7" x14ac:dyDescent="0.25">
      <c r="B18" s="7" t="s">
        <v>17</v>
      </c>
      <c r="C18" s="8">
        <f>SUM('Monthly CF'!C25:N25)</f>
        <v>-150000</v>
      </c>
      <c r="D18" s="8">
        <f>SUM('Monthly CF'!O25:Z25)</f>
        <v>0</v>
      </c>
      <c r="E18" s="8">
        <f>SUM('Monthly CF'!AA25:AL25)</f>
        <v>0</v>
      </c>
      <c r="F18" s="8">
        <f>SUM('Monthly CF'!AM25:AX25)</f>
        <v>0</v>
      </c>
      <c r="G18" s="8">
        <f>SUM('Monthly CF'!AY25:BJ25)</f>
        <v>0</v>
      </c>
    </row>
    <row r="19" spans="2:7" x14ac:dyDescent="0.25">
      <c r="B19" s="7" t="s">
        <v>18</v>
      </c>
      <c r="C19" s="9">
        <f>SUM('Monthly CF'!C26:N26)</f>
        <v>-154600</v>
      </c>
      <c r="D19" s="9">
        <f>SUM('Monthly CF'!O26:Z26)</f>
        <v>0</v>
      </c>
      <c r="E19" s="9">
        <f>SUM('Monthly CF'!AA26:AL26)</f>
        <v>0</v>
      </c>
      <c r="F19" s="9">
        <f>SUM('Monthly CF'!AM26:AX26)</f>
        <v>-49200</v>
      </c>
      <c r="G19" s="9">
        <f>SUM('Monthly CF'!AY26:BJ26)</f>
        <v>-36200</v>
      </c>
    </row>
    <row r="20" spans="2:7" x14ac:dyDescent="0.25">
      <c r="B20" s="7" t="s">
        <v>19</v>
      </c>
      <c r="C20" s="9">
        <f>SUM('Monthly CF'!C27:N27)</f>
        <v>-26523</v>
      </c>
      <c r="D20" s="9">
        <f>SUM('Monthly CF'!O27:Z27)</f>
        <v>0</v>
      </c>
      <c r="E20" s="9">
        <f>SUM('Monthly CF'!AA27:AL27)</f>
        <v>0</v>
      </c>
      <c r="F20" s="9">
        <f>SUM('Monthly CF'!AM27:AX27)</f>
        <v>-11299.889907000001</v>
      </c>
      <c r="G20" s="9">
        <f>SUM('Monthly CF'!AY27:BJ27)</f>
        <v>-9167.2692574499979</v>
      </c>
    </row>
    <row r="21" spans="2:7" x14ac:dyDescent="0.25">
      <c r="B21" s="10" t="s">
        <v>267</v>
      </c>
      <c r="C21" s="11">
        <f>SUM('Monthly CF'!C29:N29)</f>
        <v>-150993.71081640024</v>
      </c>
      <c r="D21" s="11">
        <f>SUM('Monthly CF'!O29:Z29)</f>
        <v>238038.98764809908</v>
      </c>
      <c r="E21" s="11">
        <f>SUM('Monthly CF'!AA29:AL29)</f>
        <v>240202.05814741549</v>
      </c>
      <c r="F21" s="11">
        <f>SUM('Monthly CF'!AM29:AX29)</f>
        <v>185776.6384900393</v>
      </c>
      <c r="G21" s="11">
        <f>SUM('Monthly CF'!AY29:BJ29)</f>
        <v>195497.66346826922</v>
      </c>
    </row>
    <row r="22" spans="2:7" x14ac:dyDescent="0.25">
      <c r="B22" s="14"/>
      <c r="C22" s="14"/>
      <c r="D22" s="14"/>
      <c r="E22" s="14"/>
      <c r="F22" s="14"/>
      <c r="G22" s="14"/>
    </row>
    <row r="23" spans="2:7" x14ac:dyDescent="0.25">
      <c r="B23" s="7" t="s">
        <v>22</v>
      </c>
      <c r="C23" s="8">
        <f>SUM('Monthly CF'!C32:N32)</f>
        <v>-154701.24696236444</v>
      </c>
      <c r="D23" s="8">
        <f>SUM('Monthly CF'!O32:Z32)</f>
        <v>-176414.96354837314</v>
      </c>
      <c r="E23" s="8">
        <f>SUM('Monthly CF'!AA32:AL32)</f>
        <v>-176414.96354837311</v>
      </c>
      <c r="F23" s="8">
        <f>SUM('Monthly CF'!AM32:AX32)</f>
        <v>-176414.96354837314</v>
      </c>
      <c r="G23" s="8">
        <f>SUM('Monthly CF'!AY32:BJ32)</f>
        <v>-176414.9635483732</v>
      </c>
    </row>
    <row r="24" spans="2:7" x14ac:dyDescent="0.25">
      <c r="B24" s="7" t="s">
        <v>23</v>
      </c>
      <c r="C24" s="9">
        <f>SUM('Monthly CF'!C33:N33)</f>
        <v>-8940</v>
      </c>
      <c r="D24" s="9">
        <f>SUM('Monthly CF'!O33:Z33)</f>
        <v>-8940</v>
      </c>
      <c r="E24" s="9">
        <f>SUM('Monthly CF'!AA33:AL33)</f>
        <v>-8940</v>
      </c>
      <c r="F24" s="9">
        <f>SUM('Monthly CF'!AM33:AX33)</f>
        <v>-8940</v>
      </c>
      <c r="G24" s="9">
        <f>SUM('Monthly CF'!AY33:BJ33)</f>
        <v>-8940</v>
      </c>
    </row>
    <row r="25" spans="2:7" x14ac:dyDescent="0.25">
      <c r="B25" s="7" t="s">
        <v>268</v>
      </c>
      <c r="C25" s="9">
        <f>SUM('Monthly CF'!C34:N34)+SUM('Monthly CF'!C35:N35)+SUM('Monthly CF'!C36:N36)</f>
        <v>-15880</v>
      </c>
      <c r="D25" s="9">
        <f>SUM('Monthly CF'!O34:Z34)+SUM('Monthly CF'!O35:Z35)+SUM('Monthly CF'!O36:Z36)</f>
        <v>-15880</v>
      </c>
      <c r="E25" s="9">
        <f>SUM('Monthly CF'!AA34:AL34)+SUM('Monthly CF'!AA35:AL35)+SUM('Monthly CF'!AA36:AL36)</f>
        <v>-15880</v>
      </c>
      <c r="F25" s="9">
        <f>SUM('Monthly CF'!AM34:AX34)+SUM('Monthly CF'!AM35:AX35)+SUM('Monthly CF'!AM36:AX36)</f>
        <v>-15880</v>
      </c>
      <c r="G25" s="9">
        <f>SUM('Monthly CF'!AY34:BJ34)+SUM('Monthly CF'!AY35:BJ35)+SUM('Monthly CF'!AY36:BJ36)</f>
        <v>-15880</v>
      </c>
    </row>
    <row r="26" spans="2:7" x14ac:dyDescent="0.25">
      <c r="B26" s="10" t="s">
        <v>269</v>
      </c>
      <c r="C26" s="145">
        <f>SUM('Monthly CF'!C38:N38)</f>
        <v>-330514.95777876466</v>
      </c>
      <c r="D26" s="145">
        <f>SUM('Monthly CF'!O38:Z38)</f>
        <v>36804.02409972599</v>
      </c>
      <c r="E26" s="145">
        <f>SUM('Monthly CF'!AA38:AL38)</f>
        <v>38967.094599042379</v>
      </c>
      <c r="F26" s="145">
        <f>SUM('Monthly CF'!AM38:AX38)</f>
        <v>-15458.325058333861</v>
      </c>
      <c r="G26" s="145">
        <f>SUM('Monthly CF'!AY38:BJ38)</f>
        <v>-5737.300080103967</v>
      </c>
    </row>
    <row r="27" spans="2:7" x14ac:dyDescent="0.25">
      <c r="B27" s="14"/>
      <c r="C27" s="14"/>
      <c r="D27" s="14"/>
      <c r="E27" s="14"/>
      <c r="F27" s="14"/>
      <c r="G27" s="14"/>
    </row>
    <row r="28" spans="2:7" x14ac:dyDescent="0.25">
      <c r="B28" s="7" t="s">
        <v>28</v>
      </c>
      <c r="C28" s="8">
        <f>SUM('Monthly CF'!C40:N40)</f>
        <v>593232.59624999971</v>
      </c>
      <c r="D28" s="8">
        <f>SUM('Monthly CF'!O40:Z40)</f>
        <v>0</v>
      </c>
      <c r="E28" s="8">
        <f>SUM('Monthly CF'!AA40:AL40)</f>
        <v>0</v>
      </c>
      <c r="F28" s="8">
        <f>SUM('Monthly CF'!AM40:AX40)</f>
        <v>0</v>
      </c>
      <c r="G28" s="8">
        <f>SUM('Monthly CF'!AY40:BJ40)</f>
        <v>0</v>
      </c>
    </row>
    <row r="29" spans="2:7" x14ac:dyDescent="0.25">
      <c r="B29" s="7" t="s">
        <v>270</v>
      </c>
      <c r="C29" s="8">
        <f>SUM('Monthly CF'!C47:N47)</f>
        <v>0</v>
      </c>
      <c r="D29" s="8">
        <f>SUM('Monthly CF'!O47:Z47)</f>
        <v>0</v>
      </c>
      <c r="E29" s="8">
        <f>SUM('Monthly CF'!AA47:AL47)</f>
        <v>0</v>
      </c>
      <c r="F29" s="8">
        <f>SUM('Monthly CF'!AM47:AX47)</f>
        <v>0</v>
      </c>
      <c r="G29" s="8">
        <f>SUM('Monthly CF'!AY47:BJ47)</f>
        <v>1105714.7662797768</v>
      </c>
    </row>
    <row r="30" spans="2:7" x14ac:dyDescent="0.25">
      <c r="B30" s="10" t="s">
        <v>271</v>
      </c>
      <c r="C30" s="11">
        <f>SUM('Monthly CF'!C51:N51)</f>
        <v>-725282.36152876529</v>
      </c>
      <c r="D30" s="11">
        <f>SUM('Monthly CF'!O51:Z51)</f>
        <v>36804.02409972599</v>
      </c>
      <c r="E30" s="11">
        <f>SUM('Monthly CF'!AA51:AL51)</f>
        <v>38967.094599042379</v>
      </c>
      <c r="F30" s="11">
        <f>SUM('Monthly CF'!AM51:AX51)</f>
        <v>-15458.325058333861</v>
      </c>
      <c r="G30" s="11">
        <f>SUM('Monthly CF'!AY51:BJ51)</f>
        <v>1099977.4661996728</v>
      </c>
    </row>
    <row r="31" spans="2:7" x14ac:dyDescent="0.25">
      <c r="B31" s="14"/>
      <c r="C31" s="14"/>
      <c r="D31" s="14"/>
      <c r="E31" s="14"/>
      <c r="F31" s="14"/>
      <c r="G31" s="14"/>
    </row>
    <row r="32" spans="2:7" x14ac:dyDescent="0.25">
      <c r="B32" s="14"/>
      <c r="C32" s="14"/>
      <c r="D32" s="14"/>
      <c r="E32" s="14"/>
      <c r="F32" s="14"/>
      <c r="G32" s="14"/>
    </row>
    <row r="33" spans="2:7" x14ac:dyDescent="0.25">
      <c r="B33" s="6" t="s">
        <v>272</v>
      </c>
      <c r="C33" s="144"/>
      <c r="D33" s="144"/>
      <c r="E33" s="144"/>
      <c r="F33" s="144"/>
      <c r="G33" s="144"/>
    </row>
    <row r="34" spans="2:7" x14ac:dyDescent="0.25">
      <c r="B34" s="7" t="s">
        <v>273</v>
      </c>
      <c r="C34" s="79">
        <f>IFERROR(C16/NRA,0)</f>
        <v>10.074345032639808</v>
      </c>
      <c r="D34" s="79">
        <f>IFERROR(D16/NRA,0)</f>
        <v>13.313142485911582</v>
      </c>
      <c r="E34" s="79">
        <f>IFERROR(E16/NRA,0)</f>
        <v>13.434119583188785</v>
      </c>
      <c r="F34" s="79">
        <f>IFERROR(F16/NRA,0)</f>
        <v>13.773855055762825</v>
      </c>
      <c r="G34" s="79">
        <f>IFERROR(G16/NRA,0)</f>
        <v>13.47119310546528</v>
      </c>
    </row>
    <row r="35" spans="2:7" x14ac:dyDescent="0.25">
      <c r="B35" s="7" t="s">
        <v>274</v>
      </c>
      <c r="C35" s="63">
        <f>IFERROR(C26/(Overview!I20-Overview!I6),0)</f>
        <v>-0.33452930949267679</v>
      </c>
      <c r="D35" s="63">
        <f>IFERROR(D26/(Overview!I20-Overview!I6),0)</f>
        <v>3.72510365381842E-2</v>
      </c>
      <c r="E35" s="63">
        <f>IFERROR(E26/(Overview!I20-Overview!I6),0)</f>
        <v>3.9440379148828315E-2</v>
      </c>
      <c r="F35" s="63">
        <f>IFERROR(F26/(Overview!I20-Overview!I6),0)</f>
        <v>-1.5646077994265043E-2</v>
      </c>
      <c r="G35" s="63">
        <f>IFERROR(G26/(Overview!I20-Overview!I6),0)</f>
        <v>-5.8069838867449057E-3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A3"/>
  <sheetViews>
    <sheetView zoomScaleNormal="100" workbookViewId="0"/>
  </sheetViews>
  <sheetFormatPr defaultColWidth="8.7109375" defaultRowHeight="15" x14ac:dyDescent="0.25"/>
  <cols>
    <col min="1" max="1" width="30" customWidth="1"/>
  </cols>
  <sheetData>
    <row r="1" spans="1:1" ht="15.75" customHeight="1" x14ac:dyDescent="0.25">
      <c r="A1" s="1" t="s">
        <v>275</v>
      </c>
    </row>
    <row r="3" spans="1:1" x14ac:dyDescent="0.25">
      <c r="A3" s="146" t="s">
        <v>276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A1:A3"/>
  <sheetViews>
    <sheetView zoomScaleNormal="100" workbookViewId="0"/>
  </sheetViews>
  <sheetFormatPr defaultColWidth="8.7109375" defaultRowHeight="15" x14ac:dyDescent="0.25"/>
  <cols>
    <col min="1" max="1" width="30" customWidth="1"/>
  </cols>
  <sheetData>
    <row r="1" spans="1:1" ht="15.75" customHeight="1" x14ac:dyDescent="0.25">
      <c r="A1" s="1" t="s">
        <v>277</v>
      </c>
    </row>
    <row r="3" spans="1:1" x14ac:dyDescent="0.25">
      <c r="A3" s="146" t="s">
        <v>278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41</vt:i4>
      </vt:variant>
    </vt:vector>
  </HeadingPairs>
  <TitlesOfParts>
    <vt:vector size="51" baseType="lpstr">
      <vt:lpstr>Monthly CF</vt:lpstr>
      <vt:lpstr>Overview</vt:lpstr>
      <vt:lpstr>CapEx &amp; TI-LC</vt:lpstr>
      <vt:lpstr>Rent Roll</vt:lpstr>
      <vt:lpstr>OM Rent Roll</vt:lpstr>
      <vt:lpstr>OM OpEx</vt:lpstr>
      <vt:lpstr>Debt</vt:lpstr>
      <vt:lpstr>Annual CF</vt:lpstr>
      <vt:lpstr>Waterfall</vt:lpstr>
      <vt:lpstr>Sensitivity</vt:lpstr>
      <vt:lpstr>Acq_Fee_Pct</vt:lpstr>
      <vt:lpstr>Acquisition_Price</vt:lpstr>
      <vt:lpstr>Addl_Income</vt:lpstr>
      <vt:lpstr>AM_Fee_Pct</vt:lpstr>
      <vt:lpstr>Amort1_Years</vt:lpstr>
      <vt:lpstr>Assessed_Value</vt:lpstr>
      <vt:lpstr>Close_Date</vt:lpstr>
      <vt:lpstr>Closing_Cost_Pct</vt:lpstr>
      <vt:lpstr>Credit_Loss_Pct</vt:lpstr>
      <vt:lpstr>Default_Downtime</vt:lpstr>
      <vt:lpstr>Default_Renewal_Prob</vt:lpstr>
      <vt:lpstr>Exit_Cap</vt:lpstr>
      <vt:lpstr>Exit_Month</vt:lpstr>
      <vt:lpstr>IO1_Months</vt:lpstr>
      <vt:lpstr>LC_New</vt:lpstr>
      <vt:lpstr>LC_Renewal</vt:lpstr>
      <vt:lpstr>Legal_Monthly</vt:lpstr>
      <vt:lpstr>Loan1_Amount</vt:lpstr>
      <vt:lpstr>Mgmt_Fee_Pct</vt:lpstr>
      <vt:lpstr>Millage_Rate</vt:lpstr>
      <vt:lpstr>Monthly_OpEx</vt:lpstr>
      <vt:lpstr>NRA</vt:lpstr>
      <vt:lpstr>opex_annual_growth</vt:lpstr>
      <vt:lpstr>opex_no_pm</vt:lpstr>
      <vt:lpstr>Orig_Fee1</vt:lpstr>
      <vt:lpstr>Rate1</vt:lpstr>
      <vt:lpstr>Refi_Amort</vt:lpstr>
      <vt:lpstr>Refi_IO</vt:lpstr>
      <vt:lpstr>Refi_Loan_Amt</vt:lpstr>
      <vt:lpstr>Refi_LTV</vt:lpstr>
      <vt:lpstr>Refi_Month</vt:lpstr>
      <vt:lpstr>Refi_Orig_Fee</vt:lpstr>
      <vt:lpstr>Refi_Rate</vt:lpstr>
      <vt:lpstr>Refi_Term</vt:lpstr>
      <vt:lpstr>Refi_Toggle</vt:lpstr>
      <vt:lpstr>Rent_Growth</vt:lpstr>
      <vt:lpstr>Repl_Reserve_PSF</vt:lpstr>
      <vt:lpstr>Selling_Cost_Pct</vt:lpstr>
      <vt:lpstr>Term1_Months</vt:lpstr>
      <vt:lpstr>TI_New</vt:lpstr>
      <vt:lpstr>TI_Renewal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Keegan Tingey</cp:lastModifiedBy>
  <cp:revision>0</cp:revision>
  <dcterms:created xsi:type="dcterms:W3CDTF">2026-04-04T00:03:55Z</dcterms:created>
  <dcterms:modified xsi:type="dcterms:W3CDTF">2026-04-08T05:40:31Z</dcterms:modified>
  <dc:language>en-US</dc:language>
</cp:coreProperties>
</file>